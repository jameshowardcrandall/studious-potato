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Readiness Track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Column Guide" sheetId="3" state="visible" r:id="rId3"/>
  </sheets>
  <definedNames>
    <definedName name="_xlnm._FilterDatabase" localSheetId="0" hidden="1">'State Readiness Tracker'!$A$2:$U$2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3864"/>
      <sz val="9"/>
    </font>
    <font>
      <name val="Arial"/>
      <color rgb="00111111"/>
      <sz val="9"/>
    </font>
    <font>
      <name val="Arial"/>
      <b val="1"/>
      <sz val="9"/>
    </font>
    <font>
      <name val="Arial"/>
      <b val="1"/>
      <color rgb="001F3864"/>
      <sz val="16"/>
    </font>
    <font>
      <name val="Arial"/>
      <i val="1"/>
      <color rgb="00666666"/>
      <sz val="10"/>
    </font>
    <font>
      <name val="Arial"/>
      <b val="1"/>
      <color rgb="002E5496"/>
      <sz val="24"/>
    </font>
    <font>
      <name val="Arial"/>
      <b val="1"/>
      <color rgb="000D6E6E"/>
      <sz val="24"/>
    </font>
    <font>
      <name val="Arial"/>
      <b val="1"/>
      <color rgb="001E7145"/>
      <sz val="24"/>
    </font>
    <font>
      <name val="Arial"/>
      <b val="1"/>
      <color rgb="004A235A"/>
      <sz val="24"/>
    </font>
    <font>
      <name val="Arial"/>
      <b val="1"/>
      <color rgb="007F6000"/>
      <sz val="24"/>
    </font>
    <font>
      <name val="Arial"/>
      <b val="1"/>
      <color rgb="008B0000"/>
      <sz val="24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11111"/>
      <sz val="9"/>
    </font>
    <font>
      <name val="Arial"/>
      <b val="1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0D6E6E"/>
      </patternFill>
    </fill>
    <fill>
      <patternFill patternType="solid">
        <fgColor rgb="004A235A"/>
      </patternFill>
    </fill>
    <fill>
      <patternFill patternType="solid">
        <fgColor rgb="001E7145"/>
      </patternFill>
    </fill>
    <fill>
      <patternFill patternType="solid">
        <fgColor rgb="007F6000"/>
      </patternFill>
    </fill>
    <fill>
      <patternFill patternType="solid">
        <fgColor rgb="008B0000"/>
      </patternFill>
    </fill>
    <fill>
      <patternFill patternType="solid">
        <fgColor rgb="00444444"/>
      </patternFill>
    </fill>
    <fill>
      <patternFill patternType="solid">
        <fgColor rgb="00333333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FDCE1"/>
      </patternFill>
    </fill>
    <fill>
      <patternFill patternType="solid">
        <fgColor rgb="00F3F3F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/>
    </xf>
    <xf numFmtId="0" fontId="16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8" customWidth="1" min="4" max="4"/>
    <col width="9" customWidth="1" min="5" max="5"/>
    <col width="9" customWidth="1" min="6" max="6"/>
    <col width="9" customWidth="1" min="7" max="7"/>
    <col width="12" customWidth="1" min="8" max="8"/>
    <col width="14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18" customWidth="1" min="15" max="15"/>
    <col width="12" customWidth="1" min="16" max="16"/>
    <col width="12" customWidth="1" min="17" max="17"/>
    <col width="16" customWidth="1" min="18" max="18"/>
    <col width="16" customWidth="1" min="19" max="19"/>
    <col width="10" customWidth="1" min="20" max="20"/>
    <col width="30" customWidth="1" min="21" max="21"/>
  </cols>
  <sheetData>
    <row r="1" ht="22" customHeight="1">
      <c r="A1" s="1" t="inlineStr">
        <is>
          <t>STATE</t>
        </is>
      </c>
      <c r="C1" s="2" t="inlineStr">
        <is>
          <t>STATE POC</t>
        </is>
      </c>
      <c r="E1" s="3" t="inlineStr">
        <is>
          <t>POWER PLATFORM ENVIRONMENTS</t>
        </is>
      </c>
      <c r="I1" s="4" t="inlineStr">
        <is>
          <t>NGB PRODUCTS</t>
        </is>
      </c>
      <c r="L1" s="5" t="inlineStr">
        <is>
          <t>DaaS</t>
        </is>
      </c>
      <c r="P1" s="6" t="inlineStr">
        <is>
          <t>TRAINING</t>
        </is>
      </c>
      <c r="S1" s="7" t="inlineStr">
        <is>
          <t>SCORE</t>
        </is>
      </c>
      <c r="T1" s="8" t="inlineStr">
        <is>
          <t>STATUS</t>
        </is>
      </c>
      <c r="U1" s="9" t="inlineStr">
        <is>
          <t>NOTES</t>
        </is>
      </c>
    </row>
    <row r="2" ht="40" customHeight="1">
      <c r="A2" s="10" t="inlineStr">
        <is>
          <t>Code</t>
        </is>
      </c>
      <c r="B2" s="10" t="inlineStr">
        <is>
          <t>State / Territory</t>
        </is>
      </c>
      <c r="C2" s="10" t="inlineStr">
        <is>
          <t>POC Name</t>
        </is>
      </c>
      <c r="D2" s="10" t="inlineStr">
        <is>
          <t>POC Email</t>
        </is>
      </c>
      <c r="E2" s="10" t="inlineStr">
        <is>
          <t>Dev Env</t>
        </is>
      </c>
      <c r="F2" s="10" t="inlineStr">
        <is>
          <t>Test Env</t>
        </is>
      </c>
      <c r="G2" s="10" t="inlineStr">
        <is>
          <t>Prod Env</t>
        </is>
      </c>
      <c r="H2" s="10" t="inlineStr">
        <is>
          <t>DLP Applied</t>
        </is>
      </c>
      <c r="I2" s="10" t="inlineStr">
        <is>
          <t>Guardian Nexus</t>
        </is>
      </c>
      <c r="J2" s="10" t="inlineStr">
        <is>
          <t>Forecast</t>
        </is>
      </c>
      <c r="K2" s="10" t="inlineStr">
        <is>
          <t>Checkbook</t>
        </is>
      </c>
      <c r="L2" s="10" t="inlineStr">
        <is>
          <t>DaaS Enrolled</t>
        </is>
      </c>
      <c r="M2" s="10" t="inlineStr">
        <is>
          <t>DUA Signed</t>
        </is>
      </c>
      <c r="N2" s="10" t="inlineStr">
        <is>
          <t>Std Dims Provisioned</t>
        </is>
      </c>
      <c r="O2" s="10" t="inlineStr">
        <is>
          <t>Dataflow Requests</t>
        </is>
      </c>
      <c r="P2" s="10" t="inlineStr">
        <is>
          <t>100-Level %</t>
        </is>
      </c>
      <c r="Q2" s="10" t="inlineStr">
        <is>
          <t>200-Level %</t>
        </is>
      </c>
      <c r="R2" s="10" t="inlineStr">
        <is>
          <t>300-Cert (Admin)</t>
        </is>
      </c>
      <c r="S2" s="10" t="inlineStr">
        <is>
          <t>Readiness Score</t>
        </is>
      </c>
      <c r="T2" s="10" t="inlineStr">
        <is>
          <t>Tier</t>
        </is>
      </c>
      <c r="U2" s="10" t="inlineStr">
        <is>
          <t>Notes</t>
        </is>
      </c>
    </row>
    <row r="3">
      <c r="A3" s="11" t="inlineStr">
        <is>
          <t>AL</t>
        </is>
      </c>
      <c r="B3" s="12" t="inlineStr">
        <is>
          <t>Alabama</t>
        </is>
      </c>
      <c r="C3" s="12" t="inlineStr"/>
      <c r="D3" s="12" t="inlineStr"/>
      <c r="E3" s="13" t="inlineStr">
        <is>
          <t>N</t>
        </is>
      </c>
      <c r="F3" s="13" t="inlineStr">
        <is>
          <t>N</t>
        </is>
      </c>
      <c r="G3" s="13" t="inlineStr">
        <is>
          <t>N</t>
        </is>
      </c>
      <c r="H3" s="13" t="inlineStr">
        <is>
          <t>N</t>
        </is>
      </c>
      <c r="I3" s="13" t="inlineStr">
        <is>
          <t>N</t>
        </is>
      </c>
      <c r="J3" s="13" t="inlineStr">
        <is>
          <t>N</t>
        </is>
      </c>
      <c r="K3" s="13" t="inlineStr">
        <is>
          <t>N</t>
        </is>
      </c>
      <c r="L3" s="13" t="inlineStr">
        <is>
          <t>N</t>
        </is>
      </c>
      <c r="M3" s="13" t="inlineStr">
        <is>
          <t>N</t>
        </is>
      </c>
      <c r="N3" s="13" t="inlineStr">
        <is>
          <t>N</t>
        </is>
      </c>
      <c r="O3" s="14" t="n">
        <v>0</v>
      </c>
      <c r="P3" s="14" t="n">
        <v>0</v>
      </c>
      <c r="Q3" s="14" t="n">
        <v>0</v>
      </c>
      <c r="R3" s="13" t="inlineStr">
        <is>
          <t>N</t>
        </is>
      </c>
      <c r="S3" s="15">
        <f>ROUND(COUNTIF(E3,F3,G3,H3,I3,J3,K3,L3,M3,N3,R3,"Y")/11*100,0)</f>
        <v/>
      </c>
      <c r="T3" s="15">
        <f>IF(S3&gt;=80,"Tier 1",IF(S3&gt;=50,"Tier 2",IF(S3&gt;=20,"Tier 3","Tier 4")))</f>
        <v/>
      </c>
      <c r="U3" s="12" t="inlineStr"/>
    </row>
    <row r="4">
      <c r="A4" s="11" t="inlineStr">
        <is>
          <t>AK</t>
        </is>
      </c>
      <c r="B4" s="16" t="inlineStr">
        <is>
          <t>Alaska</t>
        </is>
      </c>
      <c r="C4" s="16" t="inlineStr"/>
      <c r="D4" s="16" t="inlineStr"/>
      <c r="E4" s="13" t="inlineStr">
        <is>
          <t>N</t>
        </is>
      </c>
      <c r="F4" s="13" t="inlineStr">
        <is>
          <t>N</t>
        </is>
      </c>
      <c r="G4" s="13" t="inlineStr">
        <is>
          <t>N</t>
        </is>
      </c>
      <c r="H4" s="13" t="inlineStr">
        <is>
          <t>N</t>
        </is>
      </c>
      <c r="I4" s="13" t="inlineStr">
        <is>
          <t>N</t>
        </is>
      </c>
      <c r="J4" s="13" t="inlineStr">
        <is>
          <t>N</t>
        </is>
      </c>
      <c r="K4" s="13" t="inlineStr">
        <is>
          <t>N</t>
        </is>
      </c>
      <c r="L4" s="13" t="inlineStr">
        <is>
          <t>N</t>
        </is>
      </c>
      <c r="M4" s="13" t="inlineStr">
        <is>
          <t>N</t>
        </is>
      </c>
      <c r="N4" s="13" t="inlineStr">
        <is>
          <t>N</t>
        </is>
      </c>
      <c r="O4" s="17" t="n">
        <v>0</v>
      </c>
      <c r="P4" s="17" t="n">
        <v>0</v>
      </c>
      <c r="Q4" s="17" t="n">
        <v>0</v>
      </c>
      <c r="R4" s="13" t="inlineStr">
        <is>
          <t>N</t>
        </is>
      </c>
      <c r="S4" s="15">
        <f>ROUND(COUNTIF(E4,F4,G4,H4,I4,J4,K4,L4,M4,N4,R4,"Y")/11*100,0)</f>
        <v/>
      </c>
      <c r="T4" s="15">
        <f>IF(S4&gt;=80,"Tier 1",IF(S4&gt;=50,"Tier 2",IF(S4&gt;=20,"Tier 3","Tier 4")))</f>
        <v/>
      </c>
      <c r="U4" s="16" t="inlineStr"/>
    </row>
    <row r="5">
      <c r="A5" s="11" t="inlineStr">
        <is>
          <t>AZ</t>
        </is>
      </c>
      <c r="B5" s="12" t="inlineStr">
        <is>
          <t>Arizona</t>
        </is>
      </c>
      <c r="C5" s="12" t="inlineStr"/>
      <c r="D5" s="12" t="inlineStr"/>
      <c r="E5" s="13" t="inlineStr">
        <is>
          <t>N</t>
        </is>
      </c>
      <c r="F5" s="13" t="inlineStr">
        <is>
          <t>N</t>
        </is>
      </c>
      <c r="G5" s="13" t="inlineStr">
        <is>
          <t>N</t>
        </is>
      </c>
      <c r="H5" s="13" t="inlineStr">
        <is>
          <t>N</t>
        </is>
      </c>
      <c r="I5" s="13" t="inlineStr">
        <is>
          <t>N</t>
        </is>
      </c>
      <c r="J5" s="13" t="inlineStr">
        <is>
          <t>N</t>
        </is>
      </c>
      <c r="K5" s="13" t="inlineStr">
        <is>
          <t>N</t>
        </is>
      </c>
      <c r="L5" s="13" t="inlineStr">
        <is>
          <t>N</t>
        </is>
      </c>
      <c r="M5" s="13" t="inlineStr">
        <is>
          <t>N</t>
        </is>
      </c>
      <c r="N5" s="13" t="inlineStr">
        <is>
          <t>N</t>
        </is>
      </c>
      <c r="O5" s="14" t="n">
        <v>0</v>
      </c>
      <c r="P5" s="14" t="n">
        <v>0</v>
      </c>
      <c r="Q5" s="14" t="n">
        <v>0</v>
      </c>
      <c r="R5" s="13" t="inlineStr">
        <is>
          <t>N</t>
        </is>
      </c>
      <c r="S5" s="15">
        <f>ROUND(COUNTIF(E5,F5,G5,H5,I5,J5,K5,L5,M5,N5,R5,"Y")/11*100,0)</f>
        <v/>
      </c>
      <c r="T5" s="15">
        <f>IF(S5&gt;=80,"Tier 1",IF(S5&gt;=50,"Tier 2",IF(S5&gt;=20,"Tier 3","Tier 4")))</f>
        <v/>
      </c>
      <c r="U5" s="12" t="inlineStr"/>
    </row>
    <row r="6">
      <c r="A6" s="11" t="inlineStr">
        <is>
          <t>AR</t>
        </is>
      </c>
      <c r="B6" s="16" t="inlineStr">
        <is>
          <t>Arkansas</t>
        </is>
      </c>
      <c r="C6" s="16" t="inlineStr"/>
      <c r="D6" s="16" t="inlineStr"/>
      <c r="E6" s="13" t="inlineStr">
        <is>
          <t>N</t>
        </is>
      </c>
      <c r="F6" s="13" t="inlineStr">
        <is>
          <t>N</t>
        </is>
      </c>
      <c r="G6" s="13" t="inlineStr">
        <is>
          <t>N</t>
        </is>
      </c>
      <c r="H6" s="13" t="inlineStr">
        <is>
          <t>N</t>
        </is>
      </c>
      <c r="I6" s="13" t="inlineStr">
        <is>
          <t>N</t>
        </is>
      </c>
      <c r="J6" s="13" t="inlineStr">
        <is>
          <t>N</t>
        </is>
      </c>
      <c r="K6" s="13" t="inlineStr">
        <is>
          <t>N</t>
        </is>
      </c>
      <c r="L6" s="13" t="inlineStr">
        <is>
          <t>N</t>
        </is>
      </c>
      <c r="M6" s="13" t="inlineStr">
        <is>
          <t>N</t>
        </is>
      </c>
      <c r="N6" s="13" t="inlineStr">
        <is>
          <t>N</t>
        </is>
      </c>
      <c r="O6" s="17" t="n">
        <v>0</v>
      </c>
      <c r="P6" s="17" t="n">
        <v>0</v>
      </c>
      <c r="Q6" s="17" t="n">
        <v>0</v>
      </c>
      <c r="R6" s="13" t="inlineStr">
        <is>
          <t>N</t>
        </is>
      </c>
      <c r="S6" s="15">
        <f>ROUND(COUNTIF(E6,F6,G6,H6,I6,J6,K6,L6,M6,N6,R6,"Y")/11*100,0)</f>
        <v/>
      </c>
      <c r="T6" s="15">
        <f>IF(S6&gt;=80,"Tier 1",IF(S6&gt;=50,"Tier 2",IF(S6&gt;=20,"Tier 3","Tier 4")))</f>
        <v/>
      </c>
      <c r="U6" s="16" t="inlineStr"/>
    </row>
    <row r="7">
      <c r="A7" s="11" t="inlineStr">
        <is>
          <t>CA</t>
        </is>
      </c>
      <c r="B7" s="12" t="inlineStr">
        <is>
          <t>California</t>
        </is>
      </c>
      <c r="C7" s="12" t="inlineStr"/>
      <c r="D7" s="12" t="inlineStr"/>
      <c r="E7" s="13" t="inlineStr">
        <is>
          <t>N</t>
        </is>
      </c>
      <c r="F7" s="13" t="inlineStr">
        <is>
          <t>N</t>
        </is>
      </c>
      <c r="G7" s="13" t="inlineStr">
        <is>
          <t>N</t>
        </is>
      </c>
      <c r="H7" s="13" t="inlineStr">
        <is>
          <t>N</t>
        </is>
      </c>
      <c r="I7" s="13" t="inlineStr">
        <is>
          <t>N</t>
        </is>
      </c>
      <c r="J7" s="13" t="inlineStr">
        <is>
          <t>N</t>
        </is>
      </c>
      <c r="K7" s="13" t="inlineStr">
        <is>
          <t>N</t>
        </is>
      </c>
      <c r="L7" s="13" t="inlineStr">
        <is>
          <t>N</t>
        </is>
      </c>
      <c r="M7" s="13" t="inlineStr">
        <is>
          <t>N</t>
        </is>
      </c>
      <c r="N7" s="13" t="inlineStr">
        <is>
          <t>N</t>
        </is>
      </c>
      <c r="O7" s="14" t="n">
        <v>0</v>
      </c>
      <c r="P7" s="14" t="n">
        <v>0</v>
      </c>
      <c r="Q7" s="14" t="n">
        <v>0</v>
      </c>
      <c r="R7" s="13" t="inlineStr">
        <is>
          <t>N</t>
        </is>
      </c>
      <c r="S7" s="15">
        <f>ROUND(COUNTIF(E7,F7,G7,H7,I7,J7,K7,L7,M7,N7,R7,"Y")/11*100,0)</f>
        <v/>
      </c>
      <c r="T7" s="15">
        <f>IF(S7&gt;=80,"Tier 1",IF(S7&gt;=50,"Tier 2",IF(S7&gt;=20,"Tier 3","Tier 4")))</f>
        <v/>
      </c>
      <c r="U7" s="12" t="inlineStr"/>
    </row>
    <row r="8">
      <c r="A8" s="11" t="inlineStr">
        <is>
          <t>CO</t>
        </is>
      </c>
      <c r="B8" s="16" t="inlineStr">
        <is>
          <t>Colorado</t>
        </is>
      </c>
      <c r="C8" s="16" t="inlineStr"/>
      <c r="D8" s="16" t="inlineStr"/>
      <c r="E8" s="13" t="inlineStr">
        <is>
          <t>N</t>
        </is>
      </c>
      <c r="F8" s="13" t="inlineStr">
        <is>
          <t>N</t>
        </is>
      </c>
      <c r="G8" s="13" t="inlineStr">
        <is>
          <t>N</t>
        </is>
      </c>
      <c r="H8" s="13" t="inlineStr">
        <is>
          <t>N</t>
        </is>
      </c>
      <c r="I8" s="13" t="inlineStr">
        <is>
          <t>N</t>
        </is>
      </c>
      <c r="J8" s="13" t="inlineStr">
        <is>
          <t>N</t>
        </is>
      </c>
      <c r="K8" s="13" t="inlineStr">
        <is>
          <t>N</t>
        </is>
      </c>
      <c r="L8" s="13" t="inlineStr">
        <is>
          <t>N</t>
        </is>
      </c>
      <c r="M8" s="13" t="inlineStr">
        <is>
          <t>N</t>
        </is>
      </c>
      <c r="N8" s="13" t="inlineStr">
        <is>
          <t>N</t>
        </is>
      </c>
      <c r="O8" s="17" t="n">
        <v>0</v>
      </c>
      <c r="P8" s="17" t="n">
        <v>0</v>
      </c>
      <c r="Q8" s="17" t="n">
        <v>0</v>
      </c>
      <c r="R8" s="13" t="inlineStr">
        <is>
          <t>N</t>
        </is>
      </c>
      <c r="S8" s="15">
        <f>ROUND(COUNTIF(E8,F8,G8,H8,I8,J8,K8,L8,M8,N8,R8,"Y")/11*100,0)</f>
        <v/>
      </c>
      <c r="T8" s="15">
        <f>IF(S8&gt;=80,"Tier 1",IF(S8&gt;=50,"Tier 2",IF(S8&gt;=20,"Tier 3","Tier 4")))</f>
        <v/>
      </c>
      <c r="U8" s="16" t="inlineStr"/>
    </row>
    <row r="9">
      <c r="A9" s="11" t="inlineStr">
        <is>
          <t>CT</t>
        </is>
      </c>
      <c r="B9" s="12" t="inlineStr">
        <is>
          <t>Connecticut</t>
        </is>
      </c>
      <c r="C9" s="12" t="inlineStr"/>
      <c r="D9" s="12" t="inlineStr"/>
      <c r="E9" s="13" t="inlineStr">
        <is>
          <t>N</t>
        </is>
      </c>
      <c r="F9" s="13" t="inlineStr">
        <is>
          <t>N</t>
        </is>
      </c>
      <c r="G9" s="13" t="inlineStr">
        <is>
          <t>N</t>
        </is>
      </c>
      <c r="H9" s="13" t="inlineStr">
        <is>
          <t>N</t>
        </is>
      </c>
      <c r="I9" s="13" t="inlineStr">
        <is>
          <t>N</t>
        </is>
      </c>
      <c r="J9" s="13" t="inlineStr">
        <is>
          <t>N</t>
        </is>
      </c>
      <c r="K9" s="13" t="inlineStr">
        <is>
          <t>N</t>
        </is>
      </c>
      <c r="L9" s="13" t="inlineStr">
        <is>
          <t>N</t>
        </is>
      </c>
      <c r="M9" s="13" t="inlineStr">
        <is>
          <t>N</t>
        </is>
      </c>
      <c r="N9" s="13" t="inlineStr">
        <is>
          <t>N</t>
        </is>
      </c>
      <c r="O9" s="14" t="n">
        <v>0</v>
      </c>
      <c r="P9" s="14" t="n">
        <v>0</v>
      </c>
      <c r="Q9" s="14" t="n">
        <v>0</v>
      </c>
      <c r="R9" s="13" t="inlineStr">
        <is>
          <t>N</t>
        </is>
      </c>
      <c r="S9" s="15">
        <f>ROUND(COUNTIF(E9,F9,G9,H9,I9,J9,K9,L9,M9,N9,R9,"Y")/11*100,0)</f>
        <v/>
      </c>
      <c r="T9" s="15">
        <f>IF(S9&gt;=80,"Tier 1",IF(S9&gt;=50,"Tier 2",IF(S9&gt;=20,"Tier 3","Tier 4")))</f>
        <v/>
      </c>
      <c r="U9" s="12" t="inlineStr"/>
    </row>
    <row r="10">
      <c r="A10" s="11" t="inlineStr">
        <is>
          <t>DE</t>
        </is>
      </c>
      <c r="B10" s="16" t="inlineStr">
        <is>
          <t>Delaware</t>
        </is>
      </c>
      <c r="C10" s="16" t="inlineStr"/>
      <c r="D10" s="16" t="inlineStr"/>
      <c r="E10" s="13" t="inlineStr">
        <is>
          <t>N</t>
        </is>
      </c>
      <c r="F10" s="13" t="inlineStr">
        <is>
          <t>N</t>
        </is>
      </c>
      <c r="G10" s="13" t="inlineStr">
        <is>
          <t>N</t>
        </is>
      </c>
      <c r="H10" s="13" t="inlineStr">
        <is>
          <t>N</t>
        </is>
      </c>
      <c r="I10" s="13" t="inlineStr">
        <is>
          <t>N</t>
        </is>
      </c>
      <c r="J10" s="13" t="inlineStr">
        <is>
          <t>N</t>
        </is>
      </c>
      <c r="K10" s="13" t="inlineStr">
        <is>
          <t>N</t>
        </is>
      </c>
      <c r="L10" s="13" t="inlineStr">
        <is>
          <t>N</t>
        </is>
      </c>
      <c r="M10" s="13" t="inlineStr">
        <is>
          <t>N</t>
        </is>
      </c>
      <c r="N10" s="13" t="inlineStr">
        <is>
          <t>N</t>
        </is>
      </c>
      <c r="O10" s="17" t="n">
        <v>0</v>
      </c>
      <c r="P10" s="17" t="n">
        <v>0</v>
      </c>
      <c r="Q10" s="17" t="n">
        <v>0</v>
      </c>
      <c r="R10" s="13" t="inlineStr">
        <is>
          <t>N</t>
        </is>
      </c>
      <c r="S10" s="15">
        <f>ROUND(COUNTIF(E10,F10,G10,H10,I10,J10,K10,L10,M10,N10,R10,"Y")/11*100,0)</f>
        <v/>
      </c>
      <c r="T10" s="15">
        <f>IF(S10&gt;=80,"Tier 1",IF(S10&gt;=50,"Tier 2",IF(S10&gt;=20,"Tier 3","Tier 4")))</f>
        <v/>
      </c>
      <c r="U10" s="16" t="inlineStr"/>
    </row>
    <row r="11">
      <c r="A11" s="11" t="inlineStr">
        <is>
          <t>FL</t>
        </is>
      </c>
      <c r="B11" s="12" t="inlineStr">
        <is>
          <t>Florida</t>
        </is>
      </c>
      <c r="C11" s="12" t="inlineStr"/>
      <c r="D11" s="12" t="inlineStr"/>
      <c r="E11" s="13" t="inlineStr">
        <is>
          <t>N</t>
        </is>
      </c>
      <c r="F11" s="13" t="inlineStr">
        <is>
          <t>N</t>
        </is>
      </c>
      <c r="G11" s="13" t="inlineStr">
        <is>
          <t>N</t>
        </is>
      </c>
      <c r="H11" s="13" t="inlineStr">
        <is>
          <t>N</t>
        </is>
      </c>
      <c r="I11" s="13" t="inlineStr">
        <is>
          <t>N</t>
        </is>
      </c>
      <c r="J11" s="13" t="inlineStr">
        <is>
          <t>N</t>
        </is>
      </c>
      <c r="K11" s="13" t="inlineStr">
        <is>
          <t>N</t>
        </is>
      </c>
      <c r="L11" s="13" t="inlineStr">
        <is>
          <t>N</t>
        </is>
      </c>
      <c r="M11" s="13" t="inlineStr">
        <is>
          <t>N</t>
        </is>
      </c>
      <c r="N11" s="13" t="inlineStr">
        <is>
          <t>N</t>
        </is>
      </c>
      <c r="O11" s="14" t="n">
        <v>0</v>
      </c>
      <c r="P11" s="14" t="n">
        <v>0</v>
      </c>
      <c r="Q11" s="14" t="n">
        <v>0</v>
      </c>
      <c r="R11" s="13" t="inlineStr">
        <is>
          <t>N</t>
        </is>
      </c>
      <c r="S11" s="15">
        <f>ROUND(COUNTIF(E11,F11,G11,H11,I11,J11,K11,L11,M11,N11,R11,"Y")/11*100,0)</f>
        <v/>
      </c>
      <c r="T11" s="15">
        <f>IF(S11&gt;=80,"Tier 1",IF(S11&gt;=50,"Tier 2",IF(S11&gt;=20,"Tier 3","Tier 4")))</f>
        <v/>
      </c>
      <c r="U11" s="12" t="inlineStr"/>
    </row>
    <row r="12">
      <c r="A12" s="11" t="inlineStr">
        <is>
          <t>GA</t>
        </is>
      </c>
      <c r="B12" s="16" t="inlineStr">
        <is>
          <t>Georgia</t>
        </is>
      </c>
      <c r="C12" s="16" t="inlineStr"/>
      <c r="D12" s="16" t="inlineStr"/>
      <c r="E12" s="13" t="inlineStr">
        <is>
          <t>N</t>
        </is>
      </c>
      <c r="F12" s="13" t="inlineStr">
        <is>
          <t>N</t>
        </is>
      </c>
      <c r="G12" s="13" t="inlineStr">
        <is>
          <t>N</t>
        </is>
      </c>
      <c r="H12" s="13" t="inlineStr">
        <is>
          <t>N</t>
        </is>
      </c>
      <c r="I12" s="13" t="inlineStr">
        <is>
          <t>N</t>
        </is>
      </c>
      <c r="J12" s="13" t="inlineStr">
        <is>
          <t>N</t>
        </is>
      </c>
      <c r="K12" s="13" t="inlineStr">
        <is>
          <t>N</t>
        </is>
      </c>
      <c r="L12" s="13" t="inlineStr">
        <is>
          <t>N</t>
        </is>
      </c>
      <c r="M12" s="13" t="inlineStr">
        <is>
          <t>N</t>
        </is>
      </c>
      <c r="N12" s="13" t="inlineStr">
        <is>
          <t>N</t>
        </is>
      </c>
      <c r="O12" s="17" t="n">
        <v>0</v>
      </c>
      <c r="P12" s="17" t="n">
        <v>0</v>
      </c>
      <c r="Q12" s="17" t="n">
        <v>0</v>
      </c>
      <c r="R12" s="13" t="inlineStr">
        <is>
          <t>N</t>
        </is>
      </c>
      <c r="S12" s="15">
        <f>ROUND(COUNTIF(E12,F12,G12,H12,I12,J12,K12,L12,M12,N12,R12,"Y")/11*100,0)</f>
        <v/>
      </c>
      <c r="T12" s="15">
        <f>IF(S12&gt;=80,"Tier 1",IF(S12&gt;=50,"Tier 2",IF(S12&gt;=20,"Tier 3","Tier 4")))</f>
        <v/>
      </c>
      <c r="U12" s="16" t="inlineStr"/>
    </row>
    <row r="13">
      <c r="A13" s="11" t="inlineStr">
        <is>
          <t>HI</t>
        </is>
      </c>
      <c r="B13" s="12" t="inlineStr">
        <is>
          <t>Hawaii</t>
        </is>
      </c>
      <c r="C13" s="12" t="inlineStr"/>
      <c r="D13" s="12" t="inlineStr"/>
      <c r="E13" s="13" t="inlineStr">
        <is>
          <t>N</t>
        </is>
      </c>
      <c r="F13" s="13" t="inlineStr">
        <is>
          <t>N</t>
        </is>
      </c>
      <c r="G13" s="13" t="inlineStr">
        <is>
          <t>N</t>
        </is>
      </c>
      <c r="H13" s="13" t="inlineStr">
        <is>
          <t>N</t>
        </is>
      </c>
      <c r="I13" s="13" t="inlineStr">
        <is>
          <t>N</t>
        </is>
      </c>
      <c r="J13" s="13" t="inlineStr">
        <is>
          <t>N</t>
        </is>
      </c>
      <c r="K13" s="13" t="inlineStr">
        <is>
          <t>N</t>
        </is>
      </c>
      <c r="L13" s="13" t="inlineStr">
        <is>
          <t>N</t>
        </is>
      </c>
      <c r="M13" s="13" t="inlineStr">
        <is>
          <t>N</t>
        </is>
      </c>
      <c r="N13" s="13" t="inlineStr">
        <is>
          <t>N</t>
        </is>
      </c>
      <c r="O13" s="14" t="n">
        <v>0</v>
      </c>
      <c r="P13" s="14" t="n">
        <v>0</v>
      </c>
      <c r="Q13" s="14" t="n">
        <v>0</v>
      </c>
      <c r="R13" s="13" t="inlineStr">
        <is>
          <t>N</t>
        </is>
      </c>
      <c r="S13" s="15">
        <f>ROUND(COUNTIF(E13,F13,G13,H13,I13,J13,K13,L13,M13,N13,R13,"Y")/11*100,0)</f>
        <v/>
      </c>
      <c r="T13" s="15">
        <f>IF(S13&gt;=80,"Tier 1",IF(S13&gt;=50,"Tier 2",IF(S13&gt;=20,"Tier 3","Tier 4")))</f>
        <v/>
      </c>
      <c r="U13" s="12" t="inlineStr"/>
    </row>
    <row r="14">
      <c r="A14" s="11" t="inlineStr">
        <is>
          <t>ID</t>
        </is>
      </c>
      <c r="B14" s="16" t="inlineStr">
        <is>
          <t>Idaho</t>
        </is>
      </c>
      <c r="C14" s="16" t="inlineStr"/>
      <c r="D14" s="16" t="inlineStr"/>
      <c r="E14" s="13" t="inlineStr">
        <is>
          <t>N</t>
        </is>
      </c>
      <c r="F14" s="13" t="inlineStr">
        <is>
          <t>N</t>
        </is>
      </c>
      <c r="G14" s="13" t="inlineStr">
        <is>
          <t>N</t>
        </is>
      </c>
      <c r="H14" s="13" t="inlineStr">
        <is>
          <t>N</t>
        </is>
      </c>
      <c r="I14" s="13" t="inlineStr">
        <is>
          <t>N</t>
        </is>
      </c>
      <c r="J14" s="13" t="inlineStr">
        <is>
          <t>N</t>
        </is>
      </c>
      <c r="K14" s="13" t="inlineStr">
        <is>
          <t>N</t>
        </is>
      </c>
      <c r="L14" s="13" t="inlineStr">
        <is>
          <t>N</t>
        </is>
      </c>
      <c r="M14" s="13" t="inlineStr">
        <is>
          <t>N</t>
        </is>
      </c>
      <c r="N14" s="13" t="inlineStr">
        <is>
          <t>N</t>
        </is>
      </c>
      <c r="O14" s="17" t="n">
        <v>0</v>
      </c>
      <c r="P14" s="17" t="n">
        <v>0</v>
      </c>
      <c r="Q14" s="17" t="n">
        <v>0</v>
      </c>
      <c r="R14" s="13" t="inlineStr">
        <is>
          <t>N</t>
        </is>
      </c>
      <c r="S14" s="15">
        <f>ROUND(COUNTIF(E14,F14,G14,H14,I14,J14,K14,L14,M14,N14,R14,"Y")/11*100,0)</f>
        <v/>
      </c>
      <c r="T14" s="15">
        <f>IF(S14&gt;=80,"Tier 1",IF(S14&gt;=50,"Tier 2",IF(S14&gt;=20,"Tier 3","Tier 4")))</f>
        <v/>
      </c>
      <c r="U14" s="16" t="inlineStr"/>
    </row>
    <row r="15">
      <c r="A15" s="11" t="inlineStr">
        <is>
          <t>IL</t>
        </is>
      </c>
      <c r="B15" s="12" t="inlineStr">
        <is>
          <t>Illinois</t>
        </is>
      </c>
      <c r="C15" s="12" t="inlineStr"/>
      <c r="D15" s="12" t="inlineStr"/>
      <c r="E15" s="13" t="inlineStr">
        <is>
          <t>N</t>
        </is>
      </c>
      <c r="F15" s="13" t="inlineStr">
        <is>
          <t>N</t>
        </is>
      </c>
      <c r="G15" s="13" t="inlineStr">
        <is>
          <t>N</t>
        </is>
      </c>
      <c r="H15" s="13" t="inlineStr">
        <is>
          <t>N</t>
        </is>
      </c>
      <c r="I15" s="13" t="inlineStr">
        <is>
          <t>N</t>
        </is>
      </c>
      <c r="J15" s="13" t="inlineStr">
        <is>
          <t>N</t>
        </is>
      </c>
      <c r="K15" s="13" t="inlineStr">
        <is>
          <t>N</t>
        </is>
      </c>
      <c r="L15" s="13" t="inlineStr">
        <is>
          <t>N</t>
        </is>
      </c>
      <c r="M15" s="13" t="inlineStr">
        <is>
          <t>N</t>
        </is>
      </c>
      <c r="N15" s="13" t="inlineStr">
        <is>
          <t>N</t>
        </is>
      </c>
      <c r="O15" s="14" t="n">
        <v>0</v>
      </c>
      <c r="P15" s="14" t="n">
        <v>0</v>
      </c>
      <c r="Q15" s="14" t="n">
        <v>0</v>
      </c>
      <c r="R15" s="13" t="inlineStr">
        <is>
          <t>N</t>
        </is>
      </c>
      <c r="S15" s="15">
        <f>ROUND(COUNTIF(E15,F15,G15,H15,I15,J15,K15,L15,M15,N15,R15,"Y")/11*100,0)</f>
        <v/>
      </c>
      <c r="T15" s="15">
        <f>IF(S15&gt;=80,"Tier 1",IF(S15&gt;=50,"Tier 2",IF(S15&gt;=20,"Tier 3","Tier 4")))</f>
        <v/>
      </c>
      <c r="U15" s="12" t="inlineStr"/>
    </row>
    <row r="16">
      <c r="A16" s="11" t="inlineStr">
        <is>
          <t>IN</t>
        </is>
      </c>
      <c r="B16" s="16" t="inlineStr">
        <is>
          <t>Indiana</t>
        </is>
      </c>
      <c r="C16" s="16" t="inlineStr"/>
      <c r="D16" s="16" t="inlineStr"/>
      <c r="E16" s="13" t="inlineStr">
        <is>
          <t>N</t>
        </is>
      </c>
      <c r="F16" s="13" t="inlineStr">
        <is>
          <t>N</t>
        </is>
      </c>
      <c r="G16" s="13" t="inlineStr">
        <is>
          <t>N</t>
        </is>
      </c>
      <c r="H16" s="13" t="inlineStr">
        <is>
          <t>N</t>
        </is>
      </c>
      <c r="I16" s="13" t="inlineStr">
        <is>
          <t>N</t>
        </is>
      </c>
      <c r="J16" s="13" t="inlineStr">
        <is>
          <t>N</t>
        </is>
      </c>
      <c r="K16" s="13" t="inlineStr">
        <is>
          <t>N</t>
        </is>
      </c>
      <c r="L16" s="13" t="inlineStr">
        <is>
          <t>N</t>
        </is>
      </c>
      <c r="M16" s="13" t="inlineStr">
        <is>
          <t>N</t>
        </is>
      </c>
      <c r="N16" s="13" t="inlineStr">
        <is>
          <t>N</t>
        </is>
      </c>
      <c r="O16" s="17" t="n">
        <v>0</v>
      </c>
      <c r="P16" s="17" t="n">
        <v>0</v>
      </c>
      <c r="Q16" s="17" t="n">
        <v>0</v>
      </c>
      <c r="R16" s="13" t="inlineStr">
        <is>
          <t>N</t>
        </is>
      </c>
      <c r="S16" s="15">
        <f>ROUND(COUNTIF(E16,F16,G16,H16,I16,J16,K16,L16,M16,N16,R16,"Y")/11*100,0)</f>
        <v/>
      </c>
      <c r="T16" s="15">
        <f>IF(S16&gt;=80,"Tier 1",IF(S16&gt;=50,"Tier 2",IF(S16&gt;=20,"Tier 3","Tier 4")))</f>
        <v/>
      </c>
      <c r="U16" s="16" t="inlineStr"/>
    </row>
    <row r="17">
      <c r="A17" s="11" t="inlineStr">
        <is>
          <t>IA</t>
        </is>
      </c>
      <c r="B17" s="12" t="inlineStr">
        <is>
          <t>Iowa</t>
        </is>
      </c>
      <c r="C17" s="12" t="inlineStr"/>
      <c r="D17" s="12" t="inlineStr"/>
      <c r="E17" s="13" t="inlineStr">
        <is>
          <t>N</t>
        </is>
      </c>
      <c r="F17" s="13" t="inlineStr">
        <is>
          <t>N</t>
        </is>
      </c>
      <c r="G17" s="13" t="inlineStr">
        <is>
          <t>N</t>
        </is>
      </c>
      <c r="H17" s="13" t="inlineStr">
        <is>
          <t>N</t>
        </is>
      </c>
      <c r="I17" s="13" t="inlineStr">
        <is>
          <t>N</t>
        </is>
      </c>
      <c r="J17" s="13" t="inlineStr">
        <is>
          <t>N</t>
        </is>
      </c>
      <c r="K17" s="13" t="inlineStr">
        <is>
          <t>N</t>
        </is>
      </c>
      <c r="L17" s="13" t="inlineStr">
        <is>
          <t>N</t>
        </is>
      </c>
      <c r="M17" s="13" t="inlineStr">
        <is>
          <t>N</t>
        </is>
      </c>
      <c r="N17" s="13" t="inlineStr">
        <is>
          <t>N</t>
        </is>
      </c>
      <c r="O17" s="14" t="n">
        <v>0</v>
      </c>
      <c r="P17" s="14" t="n">
        <v>0</v>
      </c>
      <c r="Q17" s="14" t="n">
        <v>0</v>
      </c>
      <c r="R17" s="13" t="inlineStr">
        <is>
          <t>N</t>
        </is>
      </c>
      <c r="S17" s="15">
        <f>ROUND(COUNTIF(E17,F17,G17,H17,I17,J17,K17,L17,M17,N17,R17,"Y")/11*100,0)</f>
        <v/>
      </c>
      <c r="T17" s="15">
        <f>IF(S17&gt;=80,"Tier 1",IF(S17&gt;=50,"Tier 2",IF(S17&gt;=20,"Tier 3","Tier 4")))</f>
        <v/>
      </c>
      <c r="U17" s="12" t="inlineStr"/>
    </row>
    <row r="18">
      <c r="A18" s="11" t="inlineStr">
        <is>
          <t>KS</t>
        </is>
      </c>
      <c r="B18" s="16" t="inlineStr">
        <is>
          <t>Kansas</t>
        </is>
      </c>
      <c r="C18" s="16" t="inlineStr"/>
      <c r="D18" s="16" t="inlineStr"/>
      <c r="E18" s="13" t="inlineStr">
        <is>
          <t>N</t>
        </is>
      </c>
      <c r="F18" s="13" t="inlineStr">
        <is>
          <t>N</t>
        </is>
      </c>
      <c r="G18" s="13" t="inlineStr">
        <is>
          <t>N</t>
        </is>
      </c>
      <c r="H18" s="13" t="inlineStr">
        <is>
          <t>N</t>
        </is>
      </c>
      <c r="I18" s="13" t="inlineStr">
        <is>
          <t>N</t>
        </is>
      </c>
      <c r="J18" s="13" t="inlineStr">
        <is>
          <t>N</t>
        </is>
      </c>
      <c r="K18" s="13" t="inlineStr">
        <is>
          <t>N</t>
        </is>
      </c>
      <c r="L18" s="13" t="inlineStr">
        <is>
          <t>N</t>
        </is>
      </c>
      <c r="M18" s="13" t="inlineStr">
        <is>
          <t>N</t>
        </is>
      </c>
      <c r="N18" s="13" t="inlineStr">
        <is>
          <t>N</t>
        </is>
      </c>
      <c r="O18" s="17" t="n">
        <v>0</v>
      </c>
      <c r="P18" s="17" t="n">
        <v>0</v>
      </c>
      <c r="Q18" s="17" t="n">
        <v>0</v>
      </c>
      <c r="R18" s="13" t="inlineStr">
        <is>
          <t>N</t>
        </is>
      </c>
      <c r="S18" s="15">
        <f>ROUND(COUNTIF(E18,F18,G18,H18,I18,J18,K18,L18,M18,N18,R18,"Y")/11*100,0)</f>
        <v/>
      </c>
      <c r="T18" s="15">
        <f>IF(S18&gt;=80,"Tier 1",IF(S18&gt;=50,"Tier 2",IF(S18&gt;=20,"Tier 3","Tier 4")))</f>
        <v/>
      </c>
      <c r="U18" s="16" t="inlineStr"/>
    </row>
    <row r="19">
      <c r="A19" s="11" t="inlineStr">
        <is>
          <t>KY</t>
        </is>
      </c>
      <c r="B19" s="12" t="inlineStr">
        <is>
          <t>Kentucky</t>
        </is>
      </c>
      <c r="C19" s="12" t="inlineStr"/>
      <c r="D19" s="12" t="inlineStr"/>
      <c r="E19" s="13" t="inlineStr">
        <is>
          <t>N</t>
        </is>
      </c>
      <c r="F19" s="13" t="inlineStr">
        <is>
          <t>N</t>
        </is>
      </c>
      <c r="G19" s="13" t="inlineStr">
        <is>
          <t>N</t>
        </is>
      </c>
      <c r="H19" s="13" t="inlineStr">
        <is>
          <t>N</t>
        </is>
      </c>
      <c r="I19" s="13" t="inlineStr">
        <is>
          <t>N</t>
        </is>
      </c>
      <c r="J19" s="13" t="inlineStr">
        <is>
          <t>N</t>
        </is>
      </c>
      <c r="K19" s="13" t="inlineStr">
        <is>
          <t>N</t>
        </is>
      </c>
      <c r="L19" s="13" t="inlineStr">
        <is>
          <t>N</t>
        </is>
      </c>
      <c r="M19" s="13" t="inlineStr">
        <is>
          <t>N</t>
        </is>
      </c>
      <c r="N19" s="13" t="inlineStr">
        <is>
          <t>N</t>
        </is>
      </c>
      <c r="O19" s="14" t="n">
        <v>0</v>
      </c>
      <c r="P19" s="14" t="n">
        <v>0</v>
      </c>
      <c r="Q19" s="14" t="n">
        <v>0</v>
      </c>
      <c r="R19" s="13" t="inlineStr">
        <is>
          <t>N</t>
        </is>
      </c>
      <c r="S19" s="15">
        <f>ROUND(COUNTIF(E19,F19,G19,H19,I19,J19,K19,L19,M19,N19,R19,"Y")/11*100,0)</f>
        <v/>
      </c>
      <c r="T19" s="15">
        <f>IF(S19&gt;=80,"Tier 1",IF(S19&gt;=50,"Tier 2",IF(S19&gt;=20,"Tier 3","Tier 4")))</f>
        <v/>
      </c>
      <c r="U19" s="12" t="inlineStr"/>
    </row>
    <row r="20">
      <c r="A20" s="11" t="inlineStr">
        <is>
          <t>LA</t>
        </is>
      </c>
      <c r="B20" s="16" t="inlineStr">
        <is>
          <t>Louisiana</t>
        </is>
      </c>
      <c r="C20" s="16" t="inlineStr"/>
      <c r="D20" s="16" t="inlineStr"/>
      <c r="E20" s="13" t="inlineStr">
        <is>
          <t>N</t>
        </is>
      </c>
      <c r="F20" s="13" t="inlineStr">
        <is>
          <t>N</t>
        </is>
      </c>
      <c r="G20" s="13" t="inlineStr">
        <is>
          <t>N</t>
        </is>
      </c>
      <c r="H20" s="13" t="inlineStr">
        <is>
          <t>N</t>
        </is>
      </c>
      <c r="I20" s="13" t="inlineStr">
        <is>
          <t>N</t>
        </is>
      </c>
      <c r="J20" s="13" t="inlineStr">
        <is>
          <t>N</t>
        </is>
      </c>
      <c r="K20" s="13" t="inlineStr">
        <is>
          <t>N</t>
        </is>
      </c>
      <c r="L20" s="13" t="inlineStr">
        <is>
          <t>N</t>
        </is>
      </c>
      <c r="M20" s="13" t="inlineStr">
        <is>
          <t>N</t>
        </is>
      </c>
      <c r="N20" s="13" t="inlineStr">
        <is>
          <t>N</t>
        </is>
      </c>
      <c r="O20" s="17" t="n">
        <v>0</v>
      </c>
      <c r="P20" s="17" t="n">
        <v>0</v>
      </c>
      <c r="Q20" s="17" t="n">
        <v>0</v>
      </c>
      <c r="R20" s="13" t="inlineStr">
        <is>
          <t>N</t>
        </is>
      </c>
      <c r="S20" s="15">
        <f>ROUND(COUNTIF(E20,F20,G20,H20,I20,J20,K20,L20,M20,N20,R20,"Y")/11*100,0)</f>
        <v/>
      </c>
      <c r="T20" s="15">
        <f>IF(S20&gt;=80,"Tier 1",IF(S20&gt;=50,"Tier 2",IF(S20&gt;=20,"Tier 3","Tier 4")))</f>
        <v/>
      </c>
      <c r="U20" s="16" t="inlineStr"/>
    </row>
    <row r="21">
      <c r="A21" s="11" t="inlineStr">
        <is>
          <t>ME</t>
        </is>
      </c>
      <c r="B21" s="12" t="inlineStr">
        <is>
          <t>Maine</t>
        </is>
      </c>
      <c r="C21" s="12" t="inlineStr"/>
      <c r="D21" s="12" t="inlineStr"/>
      <c r="E21" s="13" t="inlineStr">
        <is>
          <t>N</t>
        </is>
      </c>
      <c r="F21" s="13" t="inlineStr">
        <is>
          <t>N</t>
        </is>
      </c>
      <c r="G21" s="13" t="inlineStr">
        <is>
          <t>N</t>
        </is>
      </c>
      <c r="H21" s="13" t="inlineStr">
        <is>
          <t>N</t>
        </is>
      </c>
      <c r="I21" s="13" t="inlineStr">
        <is>
          <t>N</t>
        </is>
      </c>
      <c r="J21" s="13" t="inlineStr">
        <is>
          <t>N</t>
        </is>
      </c>
      <c r="K21" s="13" t="inlineStr">
        <is>
          <t>N</t>
        </is>
      </c>
      <c r="L21" s="13" t="inlineStr">
        <is>
          <t>N</t>
        </is>
      </c>
      <c r="M21" s="13" t="inlineStr">
        <is>
          <t>N</t>
        </is>
      </c>
      <c r="N21" s="13" t="inlineStr">
        <is>
          <t>N</t>
        </is>
      </c>
      <c r="O21" s="14" t="n">
        <v>0</v>
      </c>
      <c r="P21" s="14" t="n">
        <v>0</v>
      </c>
      <c r="Q21" s="14" t="n">
        <v>0</v>
      </c>
      <c r="R21" s="13" t="inlineStr">
        <is>
          <t>N</t>
        </is>
      </c>
      <c r="S21" s="15">
        <f>ROUND(COUNTIF(E21,F21,G21,H21,I21,J21,K21,L21,M21,N21,R21,"Y")/11*100,0)</f>
        <v/>
      </c>
      <c r="T21" s="15">
        <f>IF(S21&gt;=80,"Tier 1",IF(S21&gt;=50,"Tier 2",IF(S21&gt;=20,"Tier 3","Tier 4")))</f>
        <v/>
      </c>
      <c r="U21" s="12" t="inlineStr"/>
    </row>
    <row r="22">
      <c r="A22" s="11" t="inlineStr">
        <is>
          <t>MD</t>
        </is>
      </c>
      <c r="B22" s="16" t="inlineStr">
        <is>
          <t>Maryland</t>
        </is>
      </c>
      <c r="C22" s="16" t="inlineStr"/>
      <c r="D22" s="16" t="inlineStr"/>
      <c r="E22" s="13" t="inlineStr">
        <is>
          <t>N</t>
        </is>
      </c>
      <c r="F22" s="13" t="inlineStr">
        <is>
          <t>N</t>
        </is>
      </c>
      <c r="G22" s="13" t="inlineStr">
        <is>
          <t>N</t>
        </is>
      </c>
      <c r="H22" s="13" t="inlineStr">
        <is>
          <t>N</t>
        </is>
      </c>
      <c r="I22" s="13" t="inlineStr">
        <is>
          <t>N</t>
        </is>
      </c>
      <c r="J22" s="13" t="inlineStr">
        <is>
          <t>N</t>
        </is>
      </c>
      <c r="K22" s="13" t="inlineStr">
        <is>
          <t>N</t>
        </is>
      </c>
      <c r="L22" s="13" t="inlineStr">
        <is>
          <t>N</t>
        </is>
      </c>
      <c r="M22" s="13" t="inlineStr">
        <is>
          <t>N</t>
        </is>
      </c>
      <c r="N22" s="13" t="inlineStr">
        <is>
          <t>N</t>
        </is>
      </c>
      <c r="O22" s="17" t="n">
        <v>0</v>
      </c>
      <c r="P22" s="17" t="n">
        <v>0</v>
      </c>
      <c r="Q22" s="17" t="n">
        <v>0</v>
      </c>
      <c r="R22" s="13" t="inlineStr">
        <is>
          <t>N</t>
        </is>
      </c>
      <c r="S22" s="15">
        <f>ROUND(COUNTIF(E22,F22,G22,H22,I22,J22,K22,L22,M22,N22,R22,"Y")/11*100,0)</f>
        <v/>
      </c>
      <c r="T22" s="15">
        <f>IF(S22&gt;=80,"Tier 1",IF(S22&gt;=50,"Tier 2",IF(S22&gt;=20,"Tier 3","Tier 4")))</f>
        <v/>
      </c>
      <c r="U22" s="16" t="inlineStr"/>
    </row>
    <row r="23">
      <c r="A23" s="11" t="inlineStr">
        <is>
          <t>MA</t>
        </is>
      </c>
      <c r="B23" s="12" t="inlineStr">
        <is>
          <t>Massachusetts</t>
        </is>
      </c>
      <c r="C23" s="12" t="inlineStr"/>
      <c r="D23" s="12" t="inlineStr"/>
      <c r="E23" s="13" t="inlineStr">
        <is>
          <t>N</t>
        </is>
      </c>
      <c r="F23" s="13" t="inlineStr">
        <is>
          <t>N</t>
        </is>
      </c>
      <c r="G23" s="13" t="inlineStr">
        <is>
          <t>N</t>
        </is>
      </c>
      <c r="H23" s="13" t="inlineStr">
        <is>
          <t>N</t>
        </is>
      </c>
      <c r="I23" s="13" t="inlineStr">
        <is>
          <t>N</t>
        </is>
      </c>
      <c r="J23" s="13" t="inlineStr">
        <is>
          <t>N</t>
        </is>
      </c>
      <c r="K23" s="13" t="inlineStr">
        <is>
          <t>N</t>
        </is>
      </c>
      <c r="L23" s="13" t="inlineStr">
        <is>
          <t>N</t>
        </is>
      </c>
      <c r="M23" s="13" t="inlineStr">
        <is>
          <t>N</t>
        </is>
      </c>
      <c r="N23" s="13" t="inlineStr">
        <is>
          <t>N</t>
        </is>
      </c>
      <c r="O23" s="14" t="n">
        <v>0</v>
      </c>
      <c r="P23" s="14" t="n">
        <v>0</v>
      </c>
      <c r="Q23" s="14" t="n">
        <v>0</v>
      </c>
      <c r="R23" s="13" t="inlineStr">
        <is>
          <t>N</t>
        </is>
      </c>
      <c r="S23" s="15">
        <f>ROUND(COUNTIF(E23,F23,G23,H23,I23,J23,K23,L23,M23,N23,R23,"Y")/11*100,0)</f>
        <v/>
      </c>
      <c r="T23" s="15">
        <f>IF(S23&gt;=80,"Tier 1",IF(S23&gt;=50,"Tier 2",IF(S23&gt;=20,"Tier 3","Tier 4")))</f>
        <v/>
      </c>
      <c r="U23" s="12" t="inlineStr"/>
    </row>
    <row r="24">
      <c r="A24" s="11" t="inlineStr">
        <is>
          <t>MI</t>
        </is>
      </c>
      <c r="B24" s="16" t="inlineStr">
        <is>
          <t>Michigan</t>
        </is>
      </c>
      <c r="C24" s="16" t="inlineStr"/>
      <c r="D24" s="16" t="inlineStr"/>
      <c r="E24" s="13" t="inlineStr">
        <is>
          <t>N</t>
        </is>
      </c>
      <c r="F24" s="13" t="inlineStr">
        <is>
          <t>N</t>
        </is>
      </c>
      <c r="G24" s="13" t="inlineStr">
        <is>
          <t>N</t>
        </is>
      </c>
      <c r="H24" s="13" t="inlineStr">
        <is>
          <t>N</t>
        </is>
      </c>
      <c r="I24" s="13" t="inlineStr">
        <is>
          <t>N</t>
        </is>
      </c>
      <c r="J24" s="13" t="inlineStr">
        <is>
          <t>N</t>
        </is>
      </c>
      <c r="K24" s="13" t="inlineStr">
        <is>
          <t>N</t>
        </is>
      </c>
      <c r="L24" s="13" t="inlineStr">
        <is>
          <t>N</t>
        </is>
      </c>
      <c r="M24" s="13" t="inlineStr">
        <is>
          <t>N</t>
        </is>
      </c>
      <c r="N24" s="13" t="inlineStr">
        <is>
          <t>N</t>
        </is>
      </c>
      <c r="O24" s="17" t="n">
        <v>0</v>
      </c>
      <c r="P24" s="17" t="n">
        <v>0</v>
      </c>
      <c r="Q24" s="17" t="n">
        <v>0</v>
      </c>
      <c r="R24" s="13" t="inlineStr">
        <is>
          <t>N</t>
        </is>
      </c>
      <c r="S24" s="15">
        <f>ROUND(COUNTIF(E24,F24,G24,H24,I24,J24,K24,L24,M24,N24,R24,"Y")/11*100,0)</f>
        <v/>
      </c>
      <c r="T24" s="15">
        <f>IF(S24&gt;=80,"Tier 1",IF(S24&gt;=50,"Tier 2",IF(S24&gt;=20,"Tier 3","Tier 4")))</f>
        <v/>
      </c>
      <c r="U24" s="16" t="inlineStr"/>
    </row>
    <row r="25">
      <c r="A25" s="11" t="inlineStr">
        <is>
          <t>MN</t>
        </is>
      </c>
      <c r="B25" s="12" t="inlineStr">
        <is>
          <t>Minnesota</t>
        </is>
      </c>
      <c r="C25" s="12" t="inlineStr"/>
      <c r="D25" s="12" t="inlineStr"/>
      <c r="E25" s="13" t="inlineStr">
        <is>
          <t>N</t>
        </is>
      </c>
      <c r="F25" s="13" t="inlineStr">
        <is>
          <t>N</t>
        </is>
      </c>
      <c r="G25" s="13" t="inlineStr">
        <is>
          <t>N</t>
        </is>
      </c>
      <c r="H25" s="13" t="inlineStr">
        <is>
          <t>N</t>
        </is>
      </c>
      <c r="I25" s="13" t="inlineStr">
        <is>
          <t>N</t>
        </is>
      </c>
      <c r="J25" s="13" t="inlineStr">
        <is>
          <t>N</t>
        </is>
      </c>
      <c r="K25" s="13" t="inlineStr">
        <is>
          <t>N</t>
        </is>
      </c>
      <c r="L25" s="13" t="inlineStr">
        <is>
          <t>N</t>
        </is>
      </c>
      <c r="M25" s="13" t="inlineStr">
        <is>
          <t>N</t>
        </is>
      </c>
      <c r="N25" s="13" t="inlineStr">
        <is>
          <t>N</t>
        </is>
      </c>
      <c r="O25" s="14" t="n">
        <v>0</v>
      </c>
      <c r="P25" s="14" t="n">
        <v>0</v>
      </c>
      <c r="Q25" s="14" t="n">
        <v>0</v>
      </c>
      <c r="R25" s="13" t="inlineStr">
        <is>
          <t>N</t>
        </is>
      </c>
      <c r="S25" s="15">
        <f>ROUND(COUNTIF(E25,F25,G25,H25,I25,J25,K25,L25,M25,N25,R25,"Y")/11*100,0)</f>
        <v/>
      </c>
      <c r="T25" s="15">
        <f>IF(S25&gt;=80,"Tier 1",IF(S25&gt;=50,"Tier 2",IF(S25&gt;=20,"Tier 3","Tier 4")))</f>
        <v/>
      </c>
      <c r="U25" s="12" t="inlineStr"/>
    </row>
    <row r="26">
      <c r="A26" s="11" t="inlineStr">
        <is>
          <t>MS</t>
        </is>
      </c>
      <c r="B26" s="16" t="inlineStr">
        <is>
          <t>Mississippi</t>
        </is>
      </c>
      <c r="C26" s="16" t="inlineStr"/>
      <c r="D26" s="16" t="inlineStr"/>
      <c r="E26" s="13" t="inlineStr">
        <is>
          <t>N</t>
        </is>
      </c>
      <c r="F26" s="13" t="inlineStr">
        <is>
          <t>N</t>
        </is>
      </c>
      <c r="G26" s="13" t="inlineStr">
        <is>
          <t>N</t>
        </is>
      </c>
      <c r="H26" s="13" t="inlineStr">
        <is>
          <t>N</t>
        </is>
      </c>
      <c r="I26" s="13" t="inlineStr">
        <is>
          <t>N</t>
        </is>
      </c>
      <c r="J26" s="13" t="inlineStr">
        <is>
          <t>N</t>
        </is>
      </c>
      <c r="K26" s="13" t="inlineStr">
        <is>
          <t>N</t>
        </is>
      </c>
      <c r="L26" s="13" t="inlineStr">
        <is>
          <t>N</t>
        </is>
      </c>
      <c r="M26" s="13" t="inlineStr">
        <is>
          <t>N</t>
        </is>
      </c>
      <c r="N26" s="13" t="inlineStr">
        <is>
          <t>N</t>
        </is>
      </c>
      <c r="O26" s="17" t="n">
        <v>0</v>
      </c>
      <c r="P26" s="17" t="n">
        <v>0</v>
      </c>
      <c r="Q26" s="17" t="n">
        <v>0</v>
      </c>
      <c r="R26" s="13" t="inlineStr">
        <is>
          <t>N</t>
        </is>
      </c>
      <c r="S26" s="15">
        <f>ROUND(COUNTIF(E26,F26,G26,H26,I26,J26,K26,L26,M26,N26,R26,"Y")/11*100,0)</f>
        <v/>
      </c>
      <c r="T26" s="15">
        <f>IF(S26&gt;=80,"Tier 1",IF(S26&gt;=50,"Tier 2",IF(S26&gt;=20,"Tier 3","Tier 4")))</f>
        <v/>
      </c>
      <c r="U26" s="16" t="inlineStr"/>
    </row>
    <row r="27">
      <c r="A27" s="11" t="inlineStr">
        <is>
          <t>MO</t>
        </is>
      </c>
      <c r="B27" s="12" t="inlineStr">
        <is>
          <t>Missouri</t>
        </is>
      </c>
      <c r="C27" s="12" t="inlineStr"/>
      <c r="D27" s="12" t="inlineStr"/>
      <c r="E27" s="13" t="inlineStr">
        <is>
          <t>N</t>
        </is>
      </c>
      <c r="F27" s="13" t="inlineStr">
        <is>
          <t>N</t>
        </is>
      </c>
      <c r="G27" s="13" t="inlineStr">
        <is>
          <t>N</t>
        </is>
      </c>
      <c r="H27" s="13" t="inlineStr">
        <is>
          <t>N</t>
        </is>
      </c>
      <c r="I27" s="13" t="inlineStr">
        <is>
          <t>N</t>
        </is>
      </c>
      <c r="J27" s="13" t="inlineStr">
        <is>
          <t>N</t>
        </is>
      </c>
      <c r="K27" s="13" t="inlineStr">
        <is>
          <t>N</t>
        </is>
      </c>
      <c r="L27" s="13" t="inlineStr">
        <is>
          <t>N</t>
        </is>
      </c>
      <c r="M27" s="13" t="inlineStr">
        <is>
          <t>N</t>
        </is>
      </c>
      <c r="N27" s="13" t="inlineStr">
        <is>
          <t>N</t>
        </is>
      </c>
      <c r="O27" s="14" t="n">
        <v>0</v>
      </c>
      <c r="P27" s="14" t="n">
        <v>0</v>
      </c>
      <c r="Q27" s="14" t="n">
        <v>0</v>
      </c>
      <c r="R27" s="13" t="inlineStr">
        <is>
          <t>N</t>
        </is>
      </c>
      <c r="S27" s="15">
        <f>ROUND(COUNTIF(E27,F27,G27,H27,I27,J27,K27,L27,M27,N27,R27,"Y")/11*100,0)</f>
        <v/>
      </c>
      <c r="T27" s="15">
        <f>IF(S27&gt;=80,"Tier 1",IF(S27&gt;=50,"Tier 2",IF(S27&gt;=20,"Tier 3","Tier 4")))</f>
        <v/>
      </c>
      <c r="U27" s="12" t="inlineStr"/>
    </row>
    <row r="28">
      <c r="A28" s="11" t="inlineStr">
        <is>
          <t>MT</t>
        </is>
      </c>
      <c r="B28" s="16" t="inlineStr">
        <is>
          <t>Montana</t>
        </is>
      </c>
      <c r="C28" s="16" t="inlineStr"/>
      <c r="D28" s="16" t="inlineStr"/>
      <c r="E28" s="13" t="inlineStr">
        <is>
          <t>N</t>
        </is>
      </c>
      <c r="F28" s="13" t="inlineStr">
        <is>
          <t>N</t>
        </is>
      </c>
      <c r="G28" s="13" t="inlineStr">
        <is>
          <t>N</t>
        </is>
      </c>
      <c r="H28" s="13" t="inlineStr">
        <is>
          <t>N</t>
        </is>
      </c>
      <c r="I28" s="13" t="inlineStr">
        <is>
          <t>N</t>
        </is>
      </c>
      <c r="J28" s="13" t="inlineStr">
        <is>
          <t>N</t>
        </is>
      </c>
      <c r="K28" s="13" t="inlineStr">
        <is>
          <t>N</t>
        </is>
      </c>
      <c r="L28" s="13" t="inlineStr">
        <is>
          <t>N</t>
        </is>
      </c>
      <c r="M28" s="13" t="inlineStr">
        <is>
          <t>N</t>
        </is>
      </c>
      <c r="N28" s="13" t="inlineStr">
        <is>
          <t>N</t>
        </is>
      </c>
      <c r="O28" s="17" t="n">
        <v>0</v>
      </c>
      <c r="P28" s="17" t="n">
        <v>0</v>
      </c>
      <c r="Q28" s="17" t="n">
        <v>0</v>
      </c>
      <c r="R28" s="13" t="inlineStr">
        <is>
          <t>N</t>
        </is>
      </c>
      <c r="S28" s="15">
        <f>ROUND(COUNTIF(E28,F28,G28,H28,I28,J28,K28,L28,M28,N28,R28,"Y")/11*100,0)</f>
        <v/>
      </c>
      <c r="T28" s="15">
        <f>IF(S28&gt;=80,"Tier 1",IF(S28&gt;=50,"Tier 2",IF(S28&gt;=20,"Tier 3","Tier 4")))</f>
        <v/>
      </c>
      <c r="U28" s="16" t="inlineStr"/>
    </row>
    <row r="29">
      <c r="A29" s="11" t="inlineStr">
        <is>
          <t>NE</t>
        </is>
      </c>
      <c r="B29" s="12" t="inlineStr">
        <is>
          <t>Nebraska</t>
        </is>
      </c>
      <c r="C29" s="12" t="inlineStr"/>
      <c r="D29" s="12" t="inlineStr"/>
      <c r="E29" s="13" t="inlineStr">
        <is>
          <t>N</t>
        </is>
      </c>
      <c r="F29" s="13" t="inlineStr">
        <is>
          <t>N</t>
        </is>
      </c>
      <c r="G29" s="13" t="inlineStr">
        <is>
          <t>N</t>
        </is>
      </c>
      <c r="H29" s="13" t="inlineStr">
        <is>
          <t>N</t>
        </is>
      </c>
      <c r="I29" s="13" t="inlineStr">
        <is>
          <t>N</t>
        </is>
      </c>
      <c r="J29" s="13" t="inlineStr">
        <is>
          <t>N</t>
        </is>
      </c>
      <c r="K29" s="13" t="inlineStr">
        <is>
          <t>N</t>
        </is>
      </c>
      <c r="L29" s="13" t="inlineStr">
        <is>
          <t>N</t>
        </is>
      </c>
      <c r="M29" s="13" t="inlineStr">
        <is>
          <t>N</t>
        </is>
      </c>
      <c r="N29" s="13" t="inlineStr">
        <is>
          <t>N</t>
        </is>
      </c>
      <c r="O29" s="14" t="n">
        <v>0</v>
      </c>
      <c r="P29" s="14" t="n">
        <v>0</v>
      </c>
      <c r="Q29" s="14" t="n">
        <v>0</v>
      </c>
      <c r="R29" s="13" t="inlineStr">
        <is>
          <t>N</t>
        </is>
      </c>
      <c r="S29" s="15">
        <f>ROUND(COUNTIF(E29,F29,G29,H29,I29,J29,K29,L29,M29,N29,R29,"Y")/11*100,0)</f>
        <v/>
      </c>
      <c r="T29" s="15">
        <f>IF(S29&gt;=80,"Tier 1",IF(S29&gt;=50,"Tier 2",IF(S29&gt;=20,"Tier 3","Tier 4")))</f>
        <v/>
      </c>
      <c r="U29" s="12" t="inlineStr"/>
    </row>
    <row r="30">
      <c r="A30" s="11" t="inlineStr">
        <is>
          <t>NV</t>
        </is>
      </c>
      <c r="B30" s="16" t="inlineStr">
        <is>
          <t>Nevada</t>
        </is>
      </c>
      <c r="C30" s="16" t="inlineStr"/>
      <c r="D30" s="16" t="inlineStr"/>
      <c r="E30" s="13" t="inlineStr">
        <is>
          <t>N</t>
        </is>
      </c>
      <c r="F30" s="13" t="inlineStr">
        <is>
          <t>N</t>
        </is>
      </c>
      <c r="G30" s="13" t="inlineStr">
        <is>
          <t>N</t>
        </is>
      </c>
      <c r="H30" s="13" t="inlineStr">
        <is>
          <t>N</t>
        </is>
      </c>
      <c r="I30" s="13" t="inlineStr">
        <is>
          <t>N</t>
        </is>
      </c>
      <c r="J30" s="13" t="inlineStr">
        <is>
          <t>N</t>
        </is>
      </c>
      <c r="K30" s="13" t="inlineStr">
        <is>
          <t>N</t>
        </is>
      </c>
      <c r="L30" s="13" t="inlineStr">
        <is>
          <t>N</t>
        </is>
      </c>
      <c r="M30" s="13" t="inlineStr">
        <is>
          <t>N</t>
        </is>
      </c>
      <c r="N30" s="13" t="inlineStr">
        <is>
          <t>N</t>
        </is>
      </c>
      <c r="O30" s="17" t="n">
        <v>0</v>
      </c>
      <c r="P30" s="17" t="n">
        <v>0</v>
      </c>
      <c r="Q30" s="17" t="n">
        <v>0</v>
      </c>
      <c r="R30" s="13" t="inlineStr">
        <is>
          <t>N</t>
        </is>
      </c>
      <c r="S30" s="15">
        <f>ROUND(COUNTIF(E30,F30,G30,H30,I30,J30,K30,L30,M30,N30,R30,"Y")/11*100,0)</f>
        <v/>
      </c>
      <c r="T30" s="15">
        <f>IF(S30&gt;=80,"Tier 1",IF(S30&gt;=50,"Tier 2",IF(S30&gt;=20,"Tier 3","Tier 4")))</f>
        <v/>
      </c>
      <c r="U30" s="16" t="inlineStr"/>
    </row>
    <row r="31">
      <c r="A31" s="11" t="inlineStr">
        <is>
          <t>NH</t>
        </is>
      </c>
      <c r="B31" s="12" t="inlineStr">
        <is>
          <t>New Hampshire</t>
        </is>
      </c>
      <c r="C31" s="12" t="inlineStr"/>
      <c r="D31" s="12" t="inlineStr"/>
      <c r="E31" s="13" t="inlineStr">
        <is>
          <t>N</t>
        </is>
      </c>
      <c r="F31" s="13" t="inlineStr">
        <is>
          <t>N</t>
        </is>
      </c>
      <c r="G31" s="13" t="inlineStr">
        <is>
          <t>N</t>
        </is>
      </c>
      <c r="H31" s="13" t="inlineStr">
        <is>
          <t>N</t>
        </is>
      </c>
      <c r="I31" s="13" t="inlineStr">
        <is>
          <t>N</t>
        </is>
      </c>
      <c r="J31" s="13" t="inlineStr">
        <is>
          <t>N</t>
        </is>
      </c>
      <c r="K31" s="13" t="inlineStr">
        <is>
          <t>N</t>
        </is>
      </c>
      <c r="L31" s="13" t="inlineStr">
        <is>
          <t>N</t>
        </is>
      </c>
      <c r="M31" s="13" t="inlineStr">
        <is>
          <t>N</t>
        </is>
      </c>
      <c r="N31" s="13" t="inlineStr">
        <is>
          <t>N</t>
        </is>
      </c>
      <c r="O31" s="14" t="n">
        <v>0</v>
      </c>
      <c r="P31" s="14" t="n">
        <v>0</v>
      </c>
      <c r="Q31" s="14" t="n">
        <v>0</v>
      </c>
      <c r="R31" s="13" t="inlineStr">
        <is>
          <t>N</t>
        </is>
      </c>
      <c r="S31" s="15">
        <f>ROUND(COUNTIF(E31,F31,G31,H31,I31,J31,K31,L31,M31,N31,R31,"Y")/11*100,0)</f>
        <v/>
      </c>
      <c r="T31" s="15">
        <f>IF(S31&gt;=80,"Tier 1",IF(S31&gt;=50,"Tier 2",IF(S31&gt;=20,"Tier 3","Tier 4")))</f>
        <v/>
      </c>
      <c r="U31" s="12" t="inlineStr"/>
    </row>
    <row r="32">
      <c r="A32" s="11" t="inlineStr">
        <is>
          <t>NJ</t>
        </is>
      </c>
      <c r="B32" s="16" t="inlineStr">
        <is>
          <t>New Jersey</t>
        </is>
      </c>
      <c r="C32" s="16" t="inlineStr"/>
      <c r="D32" s="16" t="inlineStr"/>
      <c r="E32" s="13" t="inlineStr">
        <is>
          <t>N</t>
        </is>
      </c>
      <c r="F32" s="13" t="inlineStr">
        <is>
          <t>N</t>
        </is>
      </c>
      <c r="G32" s="13" t="inlineStr">
        <is>
          <t>N</t>
        </is>
      </c>
      <c r="H32" s="13" t="inlineStr">
        <is>
          <t>N</t>
        </is>
      </c>
      <c r="I32" s="13" t="inlineStr">
        <is>
          <t>N</t>
        </is>
      </c>
      <c r="J32" s="13" t="inlineStr">
        <is>
          <t>N</t>
        </is>
      </c>
      <c r="K32" s="13" t="inlineStr">
        <is>
          <t>N</t>
        </is>
      </c>
      <c r="L32" s="13" t="inlineStr">
        <is>
          <t>N</t>
        </is>
      </c>
      <c r="M32" s="13" t="inlineStr">
        <is>
          <t>N</t>
        </is>
      </c>
      <c r="N32" s="13" t="inlineStr">
        <is>
          <t>N</t>
        </is>
      </c>
      <c r="O32" s="17" t="n">
        <v>0</v>
      </c>
      <c r="P32" s="17" t="n">
        <v>0</v>
      </c>
      <c r="Q32" s="17" t="n">
        <v>0</v>
      </c>
      <c r="R32" s="13" t="inlineStr">
        <is>
          <t>N</t>
        </is>
      </c>
      <c r="S32" s="15">
        <f>ROUND(COUNTIF(E32,F32,G32,H32,I32,J32,K32,L32,M32,N32,R32,"Y")/11*100,0)</f>
        <v/>
      </c>
      <c r="T32" s="15">
        <f>IF(S32&gt;=80,"Tier 1",IF(S32&gt;=50,"Tier 2",IF(S32&gt;=20,"Tier 3","Tier 4")))</f>
        <v/>
      </c>
      <c r="U32" s="16" t="inlineStr"/>
    </row>
    <row r="33">
      <c r="A33" s="11" t="inlineStr">
        <is>
          <t>NM</t>
        </is>
      </c>
      <c r="B33" s="12" t="inlineStr">
        <is>
          <t>New Mexico</t>
        </is>
      </c>
      <c r="C33" s="12" t="inlineStr"/>
      <c r="D33" s="12" t="inlineStr"/>
      <c r="E33" s="13" t="inlineStr">
        <is>
          <t>N</t>
        </is>
      </c>
      <c r="F33" s="13" t="inlineStr">
        <is>
          <t>N</t>
        </is>
      </c>
      <c r="G33" s="13" t="inlineStr">
        <is>
          <t>N</t>
        </is>
      </c>
      <c r="H33" s="13" t="inlineStr">
        <is>
          <t>N</t>
        </is>
      </c>
      <c r="I33" s="13" t="inlineStr">
        <is>
          <t>N</t>
        </is>
      </c>
      <c r="J33" s="13" t="inlineStr">
        <is>
          <t>N</t>
        </is>
      </c>
      <c r="K33" s="13" t="inlineStr">
        <is>
          <t>N</t>
        </is>
      </c>
      <c r="L33" s="13" t="inlineStr">
        <is>
          <t>N</t>
        </is>
      </c>
      <c r="M33" s="13" t="inlineStr">
        <is>
          <t>N</t>
        </is>
      </c>
      <c r="N33" s="13" t="inlineStr">
        <is>
          <t>N</t>
        </is>
      </c>
      <c r="O33" s="14" t="n">
        <v>0</v>
      </c>
      <c r="P33" s="14" t="n">
        <v>0</v>
      </c>
      <c r="Q33" s="14" t="n">
        <v>0</v>
      </c>
      <c r="R33" s="13" t="inlineStr">
        <is>
          <t>N</t>
        </is>
      </c>
      <c r="S33" s="15">
        <f>ROUND(COUNTIF(E33,F33,G33,H33,I33,J33,K33,L33,M33,N33,R33,"Y")/11*100,0)</f>
        <v/>
      </c>
      <c r="T33" s="15">
        <f>IF(S33&gt;=80,"Tier 1",IF(S33&gt;=50,"Tier 2",IF(S33&gt;=20,"Tier 3","Tier 4")))</f>
        <v/>
      </c>
      <c r="U33" s="12" t="inlineStr"/>
    </row>
    <row r="34">
      <c r="A34" s="11" t="inlineStr">
        <is>
          <t>NY</t>
        </is>
      </c>
      <c r="B34" s="16" t="inlineStr">
        <is>
          <t>New York</t>
        </is>
      </c>
      <c r="C34" s="16" t="inlineStr"/>
      <c r="D34" s="16" t="inlineStr"/>
      <c r="E34" s="13" t="inlineStr">
        <is>
          <t>N</t>
        </is>
      </c>
      <c r="F34" s="13" t="inlineStr">
        <is>
          <t>N</t>
        </is>
      </c>
      <c r="G34" s="13" t="inlineStr">
        <is>
          <t>N</t>
        </is>
      </c>
      <c r="H34" s="13" t="inlineStr">
        <is>
          <t>N</t>
        </is>
      </c>
      <c r="I34" s="13" t="inlineStr">
        <is>
          <t>N</t>
        </is>
      </c>
      <c r="J34" s="13" t="inlineStr">
        <is>
          <t>N</t>
        </is>
      </c>
      <c r="K34" s="13" t="inlineStr">
        <is>
          <t>N</t>
        </is>
      </c>
      <c r="L34" s="13" t="inlineStr">
        <is>
          <t>N</t>
        </is>
      </c>
      <c r="M34" s="13" t="inlineStr">
        <is>
          <t>N</t>
        </is>
      </c>
      <c r="N34" s="13" t="inlineStr">
        <is>
          <t>N</t>
        </is>
      </c>
      <c r="O34" s="17" t="n">
        <v>0</v>
      </c>
      <c r="P34" s="17" t="n">
        <v>0</v>
      </c>
      <c r="Q34" s="17" t="n">
        <v>0</v>
      </c>
      <c r="R34" s="13" t="inlineStr">
        <is>
          <t>N</t>
        </is>
      </c>
      <c r="S34" s="15">
        <f>ROUND(COUNTIF(E34,F34,G34,H34,I34,J34,K34,L34,M34,N34,R34,"Y")/11*100,0)</f>
        <v/>
      </c>
      <c r="T34" s="15">
        <f>IF(S34&gt;=80,"Tier 1",IF(S34&gt;=50,"Tier 2",IF(S34&gt;=20,"Tier 3","Tier 4")))</f>
        <v/>
      </c>
      <c r="U34" s="16" t="inlineStr"/>
    </row>
    <row r="35">
      <c r="A35" s="11" t="inlineStr">
        <is>
          <t>NC</t>
        </is>
      </c>
      <c r="B35" s="12" t="inlineStr">
        <is>
          <t>North Carolina</t>
        </is>
      </c>
      <c r="C35" s="12" t="inlineStr"/>
      <c r="D35" s="12" t="inlineStr"/>
      <c r="E35" s="13" t="inlineStr">
        <is>
          <t>N</t>
        </is>
      </c>
      <c r="F35" s="13" t="inlineStr">
        <is>
          <t>N</t>
        </is>
      </c>
      <c r="G35" s="13" t="inlineStr">
        <is>
          <t>N</t>
        </is>
      </c>
      <c r="H35" s="13" t="inlineStr">
        <is>
          <t>N</t>
        </is>
      </c>
      <c r="I35" s="13" t="inlineStr">
        <is>
          <t>N</t>
        </is>
      </c>
      <c r="J35" s="13" t="inlineStr">
        <is>
          <t>N</t>
        </is>
      </c>
      <c r="K35" s="13" t="inlineStr">
        <is>
          <t>N</t>
        </is>
      </c>
      <c r="L35" s="13" t="inlineStr">
        <is>
          <t>N</t>
        </is>
      </c>
      <c r="M35" s="13" t="inlineStr">
        <is>
          <t>N</t>
        </is>
      </c>
      <c r="N35" s="13" t="inlineStr">
        <is>
          <t>N</t>
        </is>
      </c>
      <c r="O35" s="14" t="n">
        <v>0</v>
      </c>
      <c r="P35" s="14" t="n">
        <v>0</v>
      </c>
      <c r="Q35" s="14" t="n">
        <v>0</v>
      </c>
      <c r="R35" s="13" t="inlineStr">
        <is>
          <t>N</t>
        </is>
      </c>
      <c r="S35" s="15">
        <f>ROUND(COUNTIF(E35,F35,G35,H35,I35,J35,K35,L35,M35,N35,R35,"Y")/11*100,0)</f>
        <v/>
      </c>
      <c r="T35" s="15">
        <f>IF(S35&gt;=80,"Tier 1",IF(S35&gt;=50,"Tier 2",IF(S35&gt;=20,"Tier 3","Tier 4")))</f>
        <v/>
      </c>
      <c r="U35" s="12" t="inlineStr"/>
    </row>
    <row r="36">
      <c r="A36" s="11" t="inlineStr">
        <is>
          <t>ND</t>
        </is>
      </c>
      <c r="B36" s="16" t="inlineStr">
        <is>
          <t>North Dakota</t>
        </is>
      </c>
      <c r="C36" s="16" t="inlineStr"/>
      <c r="D36" s="16" t="inlineStr"/>
      <c r="E36" s="13" t="inlineStr">
        <is>
          <t>N</t>
        </is>
      </c>
      <c r="F36" s="13" t="inlineStr">
        <is>
          <t>N</t>
        </is>
      </c>
      <c r="G36" s="13" t="inlineStr">
        <is>
          <t>N</t>
        </is>
      </c>
      <c r="H36" s="13" t="inlineStr">
        <is>
          <t>N</t>
        </is>
      </c>
      <c r="I36" s="13" t="inlineStr">
        <is>
          <t>N</t>
        </is>
      </c>
      <c r="J36" s="13" t="inlineStr">
        <is>
          <t>N</t>
        </is>
      </c>
      <c r="K36" s="13" t="inlineStr">
        <is>
          <t>N</t>
        </is>
      </c>
      <c r="L36" s="13" t="inlineStr">
        <is>
          <t>N</t>
        </is>
      </c>
      <c r="M36" s="13" t="inlineStr">
        <is>
          <t>N</t>
        </is>
      </c>
      <c r="N36" s="13" t="inlineStr">
        <is>
          <t>N</t>
        </is>
      </c>
      <c r="O36" s="17" t="n">
        <v>0</v>
      </c>
      <c r="P36" s="17" t="n">
        <v>0</v>
      </c>
      <c r="Q36" s="17" t="n">
        <v>0</v>
      </c>
      <c r="R36" s="13" t="inlineStr">
        <is>
          <t>N</t>
        </is>
      </c>
      <c r="S36" s="15">
        <f>ROUND(COUNTIF(E36,F36,G36,H36,I36,J36,K36,L36,M36,N36,R36,"Y")/11*100,0)</f>
        <v/>
      </c>
      <c r="T36" s="15">
        <f>IF(S36&gt;=80,"Tier 1",IF(S36&gt;=50,"Tier 2",IF(S36&gt;=20,"Tier 3","Tier 4")))</f>
        <v/>
      </c>
      <c r="U36" s="16" t="inlineStr"/>
    </row>
    <row r="37">
      <c r="A37" s="11" t="inlineStr">
        <is>
          <t>OH</t>
        </is>
      </c>
      <c r="B37" s="12" t="inlineStr">
        <is>
          <t>Ohio</t>
        </is>
      </c>
      <c r="C37" s="12" t="inlineStr"/>
      <c r="D37" s="12" t="inlineStr"/>
      <c r="E37" s="13" t="inlineStr">
        <is>
          <t>N</t>
        </is>
      </c>
      <c r="F37" s="13" t="inlineStr">
        <is>
          <t>N</t>
        </is>
      </c>
      <c r="G37" s="13" t="inlineStr">
        <is>
          <t>N</t>
        </is>
      </c>
      <c r="H37" s="13" t="inlineStr">
        <is>
          <t>N</t>
        </is>
      </c>
      <c r="I37" s="13" t="inlineStr">
        <is>
          <t>N</t>
        </is>
      </c>
      <c r="J37" s="13" t="inlineStr">
        <is>
          <t>N</t>
        </is>
      </c>
      <c r="K37" s="13" t="inlineStr">
        <is>
          <t>N</t>
        </is>
      </c>
      <c r="L37" s="13" t="inlineStr">
        <is>
          <t>N</t>
        </is>
      </c>
      <c r="M37" s="13" t="inlineStr">
        <is>
          <t>N</t>
        </is>
      </c>
      <c r="N37" s="13" t="inlineStr">
        <is>
          <t>N</t>
        </is>
      </c>
      <c r="O37" s="14" t="n">
        <v>0</v>
      </c>
      <c r="P37" s="14" t="n">
        <v>0</v>
      </c>
      <c r="Q37" s="14" t="n">
        <v>0</v>
      </c>
      <c r="R37" s="13" t="inlineStr">
        <is>
          <t>N</t>
        </is>
      </c>
      <c r="S37" s="15">
        <f>ROUND(COUNTIF(E37,F37,G37,H37,I37,J37,K37,L37,M37,N37,R37,"Y")/11*100,0)</f>
        <v/>
      </c>
      <c r="T37" s="15">
        <f>IF(S37&gt;=80,"Tier 1",IF(S37&gt;=50,"Tier 2",IF(S37&gt;=20,"Tier 3","Tier 4")))</f>
        <v/>
      </c>
      <c r="U37" s="12" t="inlineStr"/>
    </row>
    <row r="38">
      <c r="A38" s="11" t="inlineStr">
        <is>
          <t>OK</t>
        </is>
      </c>
      <c r="B38" s="16" t="inlineStr">
        <is>
          <t>Oklahoma</t>
        </is>
      </c>
      <c r="C38" s="16" t="inlineStr"/>
      <c r="D38" s="16" t="inlineStr"/>
      <c r="E38" s="13" t="inlineStr">
        <is>
          <t>N</t>
        </is>
      </c>
      <c r="F38" s="13" t="inlineStr">
        <is>
          <t>N</t>
        </is>
      </c>
      <c r="G38" s="13" t="inlineStr">
        <is>
          <t>N</t>
        </is>
      </c>
      <c r="H38" s="13" t="inlineStr">
        <is>
          <t>N</t>
        </is>
      </c>
      <c r="I38" s="13" t="inlineStr">
        <is>
          <t>N</t>
        </is>
      </c>
      <c r="J38" s="13" t="inlineStr">
        <is>
          <t>N</t>
        </is>
      </c>
      <c r="K38" s="13" t="inlineStr">
        <is>
          <t>N</t>
        </is>
      </c>
      <c r="L38" s="13" t="inlineStr">
        <is>
          <t>N</t>
        </is>
      </c>
      <c r="M38" s="13" t="inlineStr">
        <is>
          <t>N</t>
        </is>
      </c>
      <c r="N38" s="13" t="inlineStr">
        <is>
          <t>N</t>
        </is>
      </c>
      <c r="O38" s="17" t="n">
        <v>0</v>
      </c>
      <c r="P38" s="17" t="n">
        <v>0</v>
      </c>
      <c r="Q38" s="17" t="n">
        <v>0</v>
      </c>
      <c r="R38" s="13" t="inlineStr">
        <is>
          <t>N</t>
        </is>
      </c>
      <c r="S38" s="15">
        <f>ROUND(COUNTIF(E38,F38,G38,H38,I38,J38,K38,L38,M38,N38,R38,"Y")/11*100,0)</f>
        <v/>
      </c>
      <c r="T38" s="15">
        <f>IF(S38&gt;=80,"Tier 1",IF(S38&gt;=50,"Tier 2",IF(S38&gt;=20,"Tier 3","Tier 4")))</f>
        <v/>
      </c>
      <c r="U38" s="16" t="inlineStr"/>
    </row>
    <row r="39">
      <c r="A39" s="11" t="inlineStr">
        <is>
          <t>OR</t>
        </is>
      </c>
      <c r="B39" s="12" t="inlineStr">
        <is>
          <t>Oregon</t>
        </is>
      </c>
      <c r="C39" s="12" t="inlineStr"/>
      <c r="D39" s="12" t="inlineStr"/>
      <c r="E39" s="13" t="inlineStr">
        <is>
          <t>N</t>
        </is>
      </c>
      <c r="F39" s="13" t="inlineStr">
        <is>
          <t>N</t>
        </is>
      </c>
      <c r="G39" s="13" t="inlineStr">
        <is>
          <t>N</t>
        </is>
      </c>
      <c r="H39" s="13" t="inlineStr">
        <is>
          <t>N</t>
        </is>
      </c>
      <c r="I39" s="13" t="inlineStr">
        <is>
          <t>N</t>
        </is>
      </c>
      <c r="J39" s="13" t="inlineStr">
        <is>
          <t>N</t>
        </is>
      </c>
      <c r="K39" s="13" t="inlineStr">
        <is>
          <t>N</t>
        </is>
      </c>
      <c r="L39" s="13" t="inlineStr">
        <is>
          <t>N</t>
        </is>
      </c>
      <c r="M39" s="13" t="inlineStr">
        <is>
          <t>N</t>
        </is>
      </c>
      <c r="N39" s="13" t="inlineStr">
        <is>
          <t>N</t>
        </is>
      </c>
      <c r="O39" s="14" t="n">
        <v>0</v>
      </c>
      <c r="P39" s="14" t="n">
        <v>0</v>
      </c>
      <c r="Q39" s="14" t="n">
        <v>0</v>
      </c>
      <c r="R39" s="13" t="inlineStr">
        <is>
          <t>N</t>
        </is>
      </c>
      <c r="S39" s="15">
        <f>ROUND(COUNTIF(E39,F39,G39,H39,I39,J39,K39,L39,M39,N39,R39,"Y")/11*100,0)</f>
        <v/>
      </c>
      <c r="T39" s="15">
        <f>IF(S39&gt;=80,"Tier 1",IF(S39&gt;=50,"Tier 2",IF(S39&gt;=20,"Tier 3","Tier 4")))</f>
        <v/>
      </c>
      <c r="U39" s="12" t="inlineStr"/>
    </row>
    <row r="40">
      <c r="A40" s="11" t="inlineStr">
        <is>
          <t>PA</t>
        </is>
      </c>
      <c r="B40" s="16" t="inlineStr">
        <is>
          <t>Pennsylvania</t>
        </is>
      </c>
      <c r="C40" s="16" t="inlineStr"/>
      <c r="D40" s="16" t="inlineStr"/>
      <c r="E40" s="13" t="inlineStr">
        <is>
          <t>N</t>
        </is>
      </c>
      <c r="F40" s="13" t="inlineStr">
        <is>
          <t>N</t>
        </is>
      </c>
      <c r="G40" s="13" t="inlineStr">
        <is>
          <t>N</t>
        </is>
      </c>
      <c r="H40" s="13" t="inlineStr">
        <is>
          <t>N</t>
        </is>
      </c>
      <c r="I40" s="13" t="inlineStr">
        <is>
          <t>N</t>
        </is>
      </c>
      <c r="J40" s="13" t="inlineStr">
        <is>
          <t>N</t>
        </is>
      </c>
      <c r="K40" s="13" t="inlineStr">
        <is>
          <t>N</t>
        </is>
      </c>
      <c r="L40" s="13" t="inlineStr">
        <is>
          <t>N</t>
        </is>
      </c>
      <c r="M40" s="13" t="inlineStr">
        <is>
          <t>N</t>
        </is>
      </c>
      <c r="N40" s="13" t="inlineStr">
        <is>
          <t>N</t>
        </is>
      </c>
      <c r="O40" s="17" t="n">
        <v>0</v>
      </c>
      <c r="P40" s="17" t="n">
        <v>0</v>
      </c>
      <c r="Q40" s="17" t="n">
        <v>0</v>
      </c>
      <c r="R40" s="13" t="inlineStr">
        <is>
          <t>N</t>
        </is>
      </c>
      <c r="S40" s="15">
        <f>ROUND(COUNTIF(E40,F40,G40,H40,I40,J40,K40,L40,M40,N40,R40,"Y")/11*100,0)</f>
        <v/>
      </c>
      <c r="T40" s="15">
        <f>IF(S40&gt;=80,"Tier 1",IF(S40&gt;=50,"Tier 2",IF(S40&gt;=20,"Tier 3","Tier 4")))</f>
        <v/>
      </c>
      <c r="U40" s="16" t="inlineStr"/>
    </row>
    <row r="41">
      <c r="A41" s="11" t="inlineStr">
        <is>
          <t>RI</t>
        </is>
      </c>
      <c r="B41" s="12" t="inlineStr">
        <is>
          <t>Rhode Island</t>
        </is>
      </c>
      <c r="C41" s="12" t="inlineStr"/>
      <c r="D41" s="12" t="inlineStr"/>
      <c r="E41" s="13" t="inlineStr">
        <is>
          <t>N</t>
        </is>
      </c>
      <c r="F41" s="13" t="inlineStr">
        <is>
          <t>N</t>
        </is>
      </c>
      <c r="G41" s="13" t="inlineStr">
        <is>
          <t>N</t>
        </is>
      </c>
      <c r="H41" s="13" t="inlineStr">
        <is>
          <t>N</t>
        </is>
      </c>
      <c r="I41" s="13" t="inlineStr">
        <is>
          <t>N</t>
        </is>
      </c>
      <c r="J41" s="13" t="inlineStr">
        <is>
          <t>N</t>
        </is>
      </c>
      <c r="K41" s="13" t="inlineStr">
        <is>
          <t>N</t>
        </is>
      </c>
      <c r="L41" s="13" t="inlineStr">
        <is>
          <t>N</t>
        </is>
      </c>
      <c r="M41" s="13" t="inlineStr">
        <is>
          <t>N</t>
        </is>
      </c>
      <c r="N41" s="13" t="inlineStr">
        <is>
          <t>N</t>
        </is>
      </c>
      <c r="O41" s="14" t="n">
        <v>0</v>
      </c>
      <c r="P41" s="14" t="n">
        <v>0</v>
      </c>
      <c r="Q41" s="14" t="n">
        <v>0</v>
      </c>
      <c r="R41" s="13" t="inlineStr">
        <is>
          <t>N</t>
        </is>
      </c>
      <c r="S41" s="15">
        <f>ROUND(COUNTIF(E41,F41,G41,H41,I41,J41,K41,L41,M41,N41,R41,"Y")/11*100,0)</f>
        <v/>
      </c>
      <c r="T41" s="15">
        <f>IF(S41&gt;=80,"Tier 1",IF(S41&gt;=50,"Tier 2",IF(S41&gt;=20,"Tier 3","Tier 4")))</f>
        <v/>
      </c>
      <c r="U41" s="12" t="inlineStr"/>
    </row>
    <row r="42">
      <c r="A42" s="11" t="inlineStr">
        <is>
          <t>SC</t>
        </is>
      </c>
      <c r="B42" s="16" t="inlineStr">
        <is>
          <t>South Carolina</t>
        </is>
      </c>
      <c r="C42" s="16" t="inlineStr"/>
      <c r="D42" s="16" t="inlineStr"/>
      <c r="E42" s="13" t="inlineStr">
        <is>
          <t>N</t>
        </is>
      </c>
      <c r="F42" s="13" t="inlineStr">
        <is>
          <t>N</t>
        </is>
      </c>
      <c r="G42" s="13" t="inlineStr">
        <is>
          <t>N</t>
        </is>
      </c>
      <c r="H42" s="13" t="inlineStr">
        <is>
          <t>N</t>
        </is>
      </c>
      <c r="I42" s="13" t="inlineStr">
        <is>
          <t>N</t>
        </is>
      </c>
      <c r="J42" s="13" t="inlineStr">
        <is>
          <t>N</t>
        </is>
      </c>
      <c r="K42" s="13" t="inlineStr">
        <is>
          <t>N</t>
        </is>
      </c>
      <c r="L42" s="13" t="inlineStr">
        <is>
          <t>N</t>
        </is>
      </c>
      <c r="M42" s="13" t="inlineStr">
        <is>
          <t>N</t>
        </is>
      </c>
      <c r="N42" s="13" t="inlineStr">
        <is>
          <t>N</t>
        </is>
      </c>
      <c r="O42" s="17" t="n">
        <v>0</v>
      </c>
      <c r="P42" s="17" t="n">
        <v>0</v>
      </c>
      <c r="Q42" s="17" t="n">
        <v>0</v>
      </c>
      <c r="R42" s="13" t="inlineStr">
        <is>
          <t>N</t>
        </is>
      </c>
      <c r="S42" s="15">
        <f>ROUND(COUNTIF(E42,F42,G42,H42,I42,J42,K42,L42,M42,N42,R42,"Y")/11*100,0)</f>
        <v/>
      </c>
      <c r="T42" s="15">
        <f>IF(S42&gt;=80,"Tier 1",IF(S42&gt;=50,"Tier 2",IF(S42&gt;=20,"Tier 3","Tier 4")))</f>
        <v/>
      </c>
      <c r="U42" s="16" t="inlineStr"/>
    </row>
    <row r="43">
      <c r="A43" s="11" t="inlineStr">
        <is>
          <t>SD</t>
        </is>
      </c>
      <c r="B43" s="12" t="inlineStr">
        <is>
          <t>South Dakota</t>
        </is>
      </c>
      <c r="C43" s="12" t="inlineStr"/>
      <c r="D43" s="12" t="inlineStr"/>
      <c r="E43" s="13" t="inlineStr">
        <is>
          <t>N</t>
        </is>
      </c>
      <c r="F43" s="13" t="inlineStr">
        <is>
          <t>N</t>
        </is>
      </c>
      <c r="G43" s="13" t="inlineStr">
        <is>
          <t>N</t>
        </is>
      </c>
      <c r="H43" s="13" t="inlineStr">
        <is>
          <t>N</t>
        </is>
      </c>
      <c r="I43" s="13" t="inlineStr">
        <is>
          <t>N</t>
        </is>
      </c>
      <c r="J43" s="13" t="inlineStr">
        <is>
          <t>N</t>
        </is>
      </c>
      <c r="K43" s="13" t="inlineStr">
        <is>
          <t>N</t>
        </is>
      </c>
      <c r="L43" s="13" t="inlineStr">
        <is>
          <t>N</t>
        </is>
      </c>
      <c r="M43" s="13" t="inlineStr">
        <is>
          <t>N</t>
        </is>
      </c>
      <c r="N43" s="13" t="inlineStr">
        <is>
          <t>N</t>
        </is>
      </c>
      <c r="O43" s="14" t="n">
        <v>0</v>
      </c>
      <c r="P43" s="14" t="n">
        <v>0</v>
      </c>
      <c r="Q43" s="14" t="n">
        <v>0</v>
      </c>
      <c r="R43" s="13" t="inlineStr">
        <is>
          <t>N</t>
        </is>
      </c>
      <c r="S43" s="15">
        <f>ROUND(COUNTIF(E43,F43,G43,H43,I43,J43,K43,L43,M43,N43,R43,"Y")/11*100,0)</f>
        <v/>
      </c>
      <c r="T43" s="15">
        <f>IF(S43&gt;=80,"Tier 1",IF(S43&gt;=50,"Tier 2",IF(S43&gt;=20,"Tier 3","Tier 4")))</f>
        <v/>
      </c>
      <c r="U43" s="12" t="inlineStr"/>
    </row>
    <row r="44">
      <c r="A44" s="11" t="inlineStr">
        <is>
          <t>TN</t>
        </is>
      </c>
      <c r="B44" s="16" t="inlineStr">
        <is>
          <t>Tennessee</t>
        </is>
      </c>
      <c r="C44" s="16" t="inlineStr"/>
      <c r="D44" s="16" t="inlineStr"/>
      <c r="E44" s="13" t="inlineStr">
        <is>
          <t>N</t>
        </is>
      </c>
      <c r="F44" s="13" t="inlineStr">
        <is>
          <t>N</t>
        </is>
      </c>
      <c r="G44" s="13" t="inlineStr">
        <is>
          <t>N</t>
        </is>
      </c>
      <c r="H44" s="13" t="inlineStr">
        <is>
          <t>N</t>
        </is>
      </c>
      <c r="I44" s="13" t="inlineStr">
        <is>
          <t>N</t>
        </is>
      </c>
      <c r="J44" s="13" t="inlineStr">
        <is>
          <t>N</t>
        </is>
      </c>
      <c r="K44" s="13" t="inlineStr">
        <is>
          <t>N</t>
        </is>
      </c>
      <c r="L44" s="13" t="inlineStr">
        <is>
          <t>N</t>
        </is>
      </c>
      <c r="M44" s="13" t="inlineStr">
        <is>
          <t>N</t>
        </is>
      </c>
      <c r="N44" s="13" t="inlineStr">
        <is>
          <t>N</t>
        </is>
      </c>
      <c r="O44" s="17" t="n">
        <v>0</v>
      </c>
      <c r="P44" s="17" t="n">
        <v>0</v>
      </c>
      <c r="Q44" s="17" t="n">
        <v>0</v>
      </c>
      <c r="R44" s="13" t="inlineStr">
        <is>
          <t>N</t>
        </is>
      </c>
      <c r="S44" s="15">
        <f>ROUND(COUNTIF(E44,F44,G44,H44,I44,J44,K44,L44,M44,N44,R44,"Y")/11*100,0)</f>
        <v/>
      </c>
      <c r="T44" s="15">
        <f>IF(S44&gt;=80,"Tier 1",IF(S44&gt;=50,"Tier 2",IF(S44&gt;=20,"Tier 3","Tier 4")))</f>
        <v/>
      </c>
      <c r="U44" s="16" t="inlineStr"/>
    </row>
    <row r="45">
      <c r="A45" s="11" t="inlineStr">
        <is>
          <t>TX</t>
        </is>
      </c>
      <c r="B45" s="12" t="inlineStr">
        <is>
          <t>Texas</t>
        </is>
      </c>
      <c r="C45" s="12" t="inlineStr"/>
      <c r="D45" s="12" t="inlineStr"/>
      <c r="E45" s="13" t="inlineStr">
        <is>
          <t>N</t>
        </is>
      </c>
      <c r="F45" s="13" t="inlineStr">
        <is>
          <t>N</t>
        </is>
      </c>
      <c r="G45" s="13" t="inlineStr">
        <is>
          <t>N</t>
        </is>
      </c>
      <c r="H45" s="13" t="inlineStr">
        <is>
          <t>N</t>
        </is>
      </c>
      <c r="I45" s="13" t="inlineStr">
        <is>
          <t>N</t>
        </is>
      </c>
      <c r="J45" s="13" t="inlineStr">
        <is>
          <t>N</t>
        </is>
      </c>
      <c r="K45" s="13" t="inlineStr">
        <is>
          <t>N</t>
        </is>
      </c>
      <c r="L45" s="13" t="inlineStr">
        <is>
          <t>N</t>
        </is>
      </c>
      <c r="M45" s="13" t="inlineStr">
        <is>
          <t>N</t>
        </is>
      </c>
      <c r="N45" s="13" t="inlineStr">
        <is>
          <t>N</t>
        </is>
      </c>
      <c r="O45" s="14" t="n">
        <v>0</v>
      </c>
      <c r="P45" s="14" t="n">
        <v>0</v>
      </c>
      <c r="Q45" s="14" t="n">
        <v>0</v>
      </c>
      <c r="R45" s="13" t="inlineStr">
        <is>
          <t>N</t>
        </is>
      </c>
      <c r="S45" s="15">
        <f>ROUND(COUNTIF(E45,F45,G45,H45,I45,J45,K45,L45,M45,N45,R45,"Y")/11*100,0)</f>
        <v/>
      </c>
      <c r="T45" s="15">
        <f>IF(S45&gt;=80,"Tier 1",IF(S45&gt;=50,"Tier 2",IF(S45&gt;=20,"Tier 3","Tier 4")))</f>
        <v/>
      </c>
      <c r="U45" s="12" t="inlineStr"/>
    </row>
    <row r="46">
      <c r="A46" s="11" t="inlineStr">
        <is>
          <t>UT</t>
        </is>
      </c>
      <c r="B46" s="16" t="inlineStr">
        <is>
          <t>Utah</t>
        </is>
      </c>
      <c r="C46" s="16" t="inlineStr"/>
      <c r="D46" s="16" t="inlineStr"/>
      <c r="E46" s="13" t="inlineStr">
        <is>
          <t>N</t>
        </is>
      </c>
      <c r="F46" s="13" t="inlineStr">
        <is>
          <t>N</t>
        </is>
      </c>
      <c r="G46" s="13" t="inlineStr">
        <is>
          <t>N</t>
        </is>
      </c>
      <c r="H46" s="13" t="inlineStr">
        <is>
          <t>N</t>
        </is>
      </c>
      <c r="I46" s="13" t="inlineStr">
        <is>
          <t>N</t>
        </is>
      </c>
      <c r="J46" s="13" t="inlineStr">
        <is>
          <t>N</t>
        </is>
      </c>
      <c r="K46" s="13" t="inlineStr">
        <is>
          <t>N</t>
        </is>
      </c>
      <c r="L46" s="13" t="inlineStr">
        <is>
          <t>N</t>
        </is>
      </c>
      <c r="M46" s="13" t="inlineStr">
        <is>
          <t>N</t>
        </is>
      </c>
      <c r="N46" s="13" t="inlineStr">
        <is>
          <t>N</t>
        </is>
      </c>
      <c r="O46" s="17" t="n">
        <v>0</v>
      </c>
      <c r="P46" s="17" t="n">
        <v>0</v>
      </c>
      <c r="Q46" s="17" t="n">
        <v>0</v>
      </c>
      <c r="R46" s="13" t="inlineStr">
        <is>
          <t>N</t>
        </is>
      </c>
      <c r="S46" s="15">
        <f>ROUND(COUNTIF(E46,F46,G46,H46,I46,J46,K46,L46,M46,N46,R46,"Y")/11*100,0)</f>
        <v/>
      </c>
      <c r="T46" s="15">
        <f>IF(S46&gt;=80,"Tier 1",IF(S46&gt;=50,"Tier 2",IF(S46&gt;=20,"Tier 3","Tier 4")))</f>
        <v/>
      </c>
      <c r="U46" s="16" t="inlineStr"/>
    </row>
    <row r="47">
      <c r="A47" s="11" t="inlineStr">
        <is>
          <t>VT</t>
        </is>
      </c>
      <c r="B47" s="12" t="inlineStr">
        <is>
          <t>Vermont</t>
        </is>
      </c>
      <c r="C47" s="12" t="inlineStr"/>
      <c r="D47" s="12" t="inlineStr"/>
      <c r="E47" s="13" t="inlineStr">
        <is>
          <t>N</t>
        </is>
      </c>
      <c r="F47" s="13" t="inlineStr">
        <is>
          <t>N</t>
        </is>
      </c>
      <c r="G47" s="13" t="inlineStr">
        <is>
          <t>N</t>
        </is>
      </c>
      <c r="H47" s="13" t="inlineStr">
        <is>
          <t>N</t>
        </is>
      </c>
      <c r="I47" s="13" t="inlineStr">
        <is>
          <t>N</t>
        </is>
      </c>
      <c r="J47" s="13" t="inlineStr">
        <is>
          <t>N</t>
        </is>
      </c>
      <c r="K47" s="13" t="inlineStr">
        <is>
          <t>N</t>
        </is>
      </c>
      <c r="L47" s="13" t="inlineStr">
        <is>
          <t>N</t>
        </is>
      </c>
      <c r="M47" s="13" t="inlineStr">
        <is>
          <t>N</t>
        </is>
      </c>
      <c r="N47" s="13" t="inlineStr">
        <is>
          <t>N</t>
        </is>
      </c>
      <c r="O47" s="14" t="n">
        <v>0</v>
      </c>
      <c r="P47" s="14" t="n">
        <v>0</v>
      </c>
      <c r="Q47" s="14" t="n">
        <v>0</v>
      </c>
      <c r="R47" s="13" t="inlineStr">
        <is>
          <t>N</t>
        </is>
      </c>
      <c r="S47" s="15">
        <f>ROUND(COUNTIF(E47,F47,G47,H47,I47,J47,K47,L47,M47,N47,R47,"Y")/11*100,0)</f>
        <v/>
      </c>
      <c r="T47" s="15">
        <f>IF(S47&gt;=80,"Tier 1",IF(S47&gt;=50,"Tier 2",IF(S47&gt;=20,"Tier 3","Tier 4")))</f>
        <v/>
      </c>
      <c r="U47" s="12" t="inlineStr"/>
    </row>
    <row r="48">
      <c r="A48" s="11" t="inlineStr">
        <is>
          <t>VA</t>
        </is>
      </c>
      <c r="B48" s="16" t="inlineStr">
        <is>
          <t>Virginia</t>
        </is>
      </c>
      <c r="C48" s="16" t="inlineStr"/>
      <c r="D48" s="16" t="inlineStr"/>
      <c r="E48" s="13" t="inlineStr">
        <is>
          <t>N</t>
        </is>
      </c>
      <c r="F48" s="13" t="inlineStr">
        <is>
          <t>N</t>
        </is>
      </c>
      <c r="G48" s="13" t="inlineStr">
        <is>
          <t>N</t>
        </is>
      </c>
      <c r="H48" s="13" t="inlineStr">
        <is>
          <t>N</t>
        </is>
      </c>
      <c r="I48" s="13" t="inlineStr">
        <is>
          <t>N</t>
        </is>
      </c>
      <c r="J48" s="13" t="inlineStr">
        <is>
          <t>N</t>
        </is>
      </c>
      <c r="K48" s="13" t="inlineStr">
        <is>
          <t>N</t>
        </is>
      </c>
      <c r="L48" s="13" t="inlineStr">
        <is>
          <t>N</t>
        </is>
      </c>
      <c r="M48" s="13" t="inlineStr">
        <is>
          <t>N</t>
        </is>
      </c>
      <c r="N48" s="13" t="inlineStr">
        <is>
          <t>N</t>
        </is>
      </c>
      <c r="O48" s="17" t="n">
        <v>0</v>
      </c>
      <c r="P48" s="17" t="n">
        <v>0</v>
      </c>
      <c r="Q48" s="17" t="n">
        <v>0</v>
      </c>
      <c r="R48" s="13" t="inlineStr">
        <is>
          <t>N</t>
        </is>
      </c>
      <c r="S48" s="15">
        <f>ROUND(COUNTIF(E48,F48,G48,H48,I48,J48,K48,L48,M48,N48,R48,"Y")/11*100,0)</f>
        <v/>
      </c>
      <c r="T48" s="15">
        <f>IF(S48&gt;=80,"Tier 1",IF(S48&gt;=50,"Tier 2",IF(S48&gt;=20,"Tier 3","Tier 4")))</f>
        <v/>
      </c>
      <c r="U48" s="16" t="inlineStr"/>
    </row>
    <row r="49">
      <c r="A49" s="11" t="inlineStr">
        <is>
          <t>WA</t>
        </is>
      </c>
      <c r="B49" s="12" t="inlineStr">
        <is>
          <t>Washington</t>
        </is>
      </c>
      <c r="C49" s="12" t="inlineStr"/>
      <c r="D49" s="12" t="inlineStr"/>
      <c r="E49" s="13" t="inlineStr">
        <is>
          <t>N</t>
        </is>
      </c>
      <c r="F49" s="13" t="inlineStr">
        <is>
          <t>N</t>
        </is>
      </c>
      <c r="G49" s="13" t="inlineStr">
        <is>
          <t>N</t>
        </is>
      </c>
      <c r="H49" s="13" t="inlineStr">
        <is>
          <t>N</t>
        </is>
      </c>
      <c r="I49" s="13" t="inlineStr">
        <is>
          <t>N</t>
        </is>
      </c>
      <c r="J49" s="13" t="inlineStr">
        <is>
          <t>N</t>
        </is>
      </c>
      <c r="K49" s="13" t="inlineStr">
        <is>
          <t>N</t>
        </is>
      </c>
      <c r="L49" s="13" t="inlineStr">
        <is>
          <t>N</t>
        </is>
      </c>
      <c r="M49" s="13" t="inlineStr">
        <is>
          <t>N</t>
        </is>
      </c>
      <c r="N49" s="13" t="inlineStr">
        <is>
          <t>N</t>
        </is>
      </c>
      <c r="O49" s="14" t="n">
        <v>0</v>
      </c>
      <c r="P49" s="14" t="n">
        <v>0</v>
      </c>
      <c r="Q49" s="14" t="n">
        <v>0</v>
      </c>
      <c r="R49" s="13" t="inlineStr">
        <is>
          <t>N</t>
        </is>
      </c>
      <c r="S49" s="15">
        <f>ROUND(COUNTIF(E49,F49,G49,H49,I49,J49,K49,L49,M49,N49,R49,"Y")/11*100,0)</f>
        <v/>
      </c>
      <c r="T49" s="15">
        <f>IF(S49&gt;=80,"Tier 1",IF(S49&gt;=50,"Tier 2",IF(S49&gt;=20,"Tier 3","Tier 4")))</f>
        <v/>
      </c>
      <c r="U49" s="12" t="inlineStr"/>
    </row>
    <row r="50">
      <c r="A50" s="11" t="inlineStr">
        <is>
          <t>WV</t>
        </is>
      </c>
      <c r="B50" s="16" t="inlineStr">
        <is>
          <t>West Virginia</t>
        </is>
      </c>
      <c r="C50" s="16" t="inlineStr"/>
      <c r="D50" s="16" t="inlineStr"/>
      <c r="E50" s="13" t="inlineStr">
        <is>
          <t>N</t>
        </is>
      </c>
      <c r="F50" s="13" t="inlineStr">
        <is>
          <t>N</t>
        </is>
      </c>
      <c r="G50" s="13" t="inlineStr">
        <is>
          <t>N</t>
        </is>
      </c>
      <c r="H50" s="13" t="inlineStr">
        <is>
          <t>N</t>
        </is>
      </c>
      <c r="I50" s="13" t="inlineStr">
        <is>
          <t>N</t>
        </is>
      </c>
      <c r="J50" s="13" t="inlineStr">
        <is>
          <t>N</t>
        </is>
      </c>
      <c r="K50" s="13" t="inlineStr">
        <is>
          <t>N</t>
        </is>
      </c>
      <c r="L50" s="13" t="inlineStr">
        <is>
          <t>N</t>
        </is>
      </c>
      <c r="M50" s="13" t="inlineStr">
        <is>
          <t>N</t>
        </is>
      </c>
      <c r="N50" s="13" t="inlineStr">
        <is>
          <t>N</t>
        </is>
      </c>
      <c r="O50" s="17" t="n">
        <v>0</v>
      </c>
      <c r="P50" s="17" t="n">
        <v>0</v>
      </c>
      <c r="Q50" s="17" t="n">
        <v>0</v>
      </c>
      <c r="R50" s="13" t="inlineStr">
        <is>
          <t>N</t>
        </is>
      </c>
      <c r="S50" s="15">
        <f>ROUND(COUNTIF(E50,F50,G50,H50,I50,J50,K50,L50,M50,N50,R50,"Y")/11*100,0)</f>
        <v/>
      </c>
      <c r="T50" s="15">
        <f>IF(S50&gt;=80,"Tier 1",IF(S50&gt;=50,"Tier 2",IF(S50&gt;=20,"Tier 3","Tier 4")))</f>
        <v/>
      </c>
      <c r="U50" s="16" t="inlineStr"/>
    </row>
    <row r="51">
      <c r="A51" s="11" t="inlineStr">
        <is>
          <t>WI</t>
        </is>
      </c>
      <c r="B51" s="12" t="inlineStr">
        <is>
          <t>Wisconsin</t>
        </is>
      </c>
      <c r="C51" s="12" t="inlineStr"/>
      <c r="D51" s="12" t="inlineStr"/>
      <c r="E51" s="13" t="inlineStr">
        <is>
          <t>N</t>
        </is>
      </c>
      <c r="F51" s="13" t="inlineStr">
        <is>
          <t>N</t>
        </is>
      </c>
      <c r="G51" s="13" t="inlineStr">
        <is>
          <t>N</t>
        </is>
      </c>
      <c r="H51" s="13" t="inlineStr">
        <is>
          <t>N</t>
        </is>
      </c>
      <c r="I51" s="13" t="inlineStr">
        <is>
          <t>N</t>
        </is>
      </c>
      <c r="J51" s="13" t="inlineStr">
        <is>
          <t>N</t>
        </is>
      </c>
      <c r="K51" s="13" t="inlineStr">
        <is>
          <t>N</t>
        </is>
      </c>
      <c r="L51" s="13" t="inlineStr">
        <is>
          <t>N</t>
        </is>
      </c>
      <c r="M51" s="13" t="inlineStr">
        <is>
          <t>N</t>
        </is>
      </c>
      <c r="N51" s="13" t="inlineStr">
        <is>
          <t>N</t>
        </is>
      </c>
      <c r="O51" s="14" t="n">
        <v>0</v>
      </c>
      <c r="P51" s="14" t="n">
        <v>0</v>
      </c>
      <c r="Q51" s="14" t="n">
        <v>0</v>
      </c>
      <c r="R51" s="13" t="inlineStr">
        <is>
          <t>N</t>
        </is>
      </c>
      <c r="S51" s="15">
        <f>ROUND(COUNTIF(E51,F51,G51,H51,I51,J51,K51,L51,M51,N51,R51,"Y")/11*100,0)</f>
        <v/>
      </c>
      <c r="T51" s="15">
        <f>IF(S51&gt;=80,"Tier 1",IF(S51&gt;=50,"Tier 2",IF(S51&gt;=20,"Tier 3","Tier 4")))</f>
        <v/>
      </c>
      <c r="U51" s="12" t="inlineStr"/>
    </row>
    <row r="52">
      <c r="A52" s="11" t="inlineStr">
        <is>
          <t>WY</t>
        </is>
      </c>
      <c r="B52" s="16" t="inlineStr">
        <is>
          <t>Wyoming</t>
        </is>
      </c>
      <c r="C52" s="16" t="inlineStr"/>
      <c r="D52" s="16" t="inlineStr"/>
      <c r="E52" s="13" t="inlineStr">
        <is>
          <t>N</t>
        </is>
      </c>
      <c r="F52" s="13" t="inlineStr">
        <is>
          <t>N</t>
        </is>
      </c>
      <c r="G52" s="13" t="inlineStr">
        <is>
          <t>N</t>
        </is>
      </c>
      <c r="H52" s="13" t="inlineStr">
        <is>
          <t>N</t>
        </is>
      </c>
      <c r="I52" s="13" t="inlineStr">
        <is>
          <t>N</t>
        </is>
      </c>
      <c r="J52" s="13" t="inlineStr">
        <is>
          <t>N</t>
        </is>
      </c>
      <c r="K52" s="13" t="inlineStr">
        <is>
          <t>N</t>
        </is>
      </c>
      <c r="L52" s="13" t="inlineStr">
        <is>
          <t>N</t>
        </is>
      </c>
      <c r="M52" s="13" t="inlineStr">
        <is>
          <t>N</t>
        </is>
      </c>
      <c r="N52" s="13" t="inlineStr">
        <is>
          <t>N</t>
        </is>
      </c>
      <c r="O52" s="17" t="n">
        <v>0</v>
      </c>
      <c r="P52" s="17" t="n">
        <v>0</v>
      </c>
      <c r="Q52" s="17" t="n">
        <v>0</v>
      </c>
      <c r="R52" s="13" t="inlineStr">
        <is>
          <t>N</t>
        </is>
      </c>
      <c r="S52" s="15">
        <f>ROUND(COUNTIF(E52,F52,G52,H52,I52,J52,K52,L52,M52,N52,R52,"Y")/11*100,0)</f>
        <v/>
      </c>
      <c r="T52" s="15">
        <f>IF(S52&gt;=80,"Tier 1",IF(S52&gt;=50,"Tier 2",IF(S52&gt;=20,"Tier 3","Tier 4")))</f>
        <v/>
      </c>
      <c r="U52" s="16" t="inlineStr"/>
    </row>
    <row r="53">
      <c r="A53" s="11" t="inlineStr">
        <is>
          <t>DC</t>
        </is>
      </c>
      <c r="B53" s="12" t="inlineStr">
        <is>
          <t>District of Columbia</t>
        </is>
      </c>
      <c r="C53" s="12" t="inlineStr"/>
      <c r="D53" s="12" t="inlineStr"/>
      <c r="E53" s="13" t="inlineStr">
        <is>
          <t>N</t>
        </is>
      </c>
      <c r="F53" s="13" t="inlineStr">
        <is>
          <t>N</t>
        </is>
      </c>
      <c r="G53" s="13" t="inlineStr">
        <is>
          <t>N</t>
        </is>
      </c>
      <c r="H53" s="13" t="inlineStr">
        <is>
          <t>N</t>
        </is>
      </c>
      <c r="I53" s="13" t="inlineStr">
        <is>
          <t>N</t>
        </is>
      </c>
      <c r="J53" s="13" t="inlineStr">
        <is>
          <t>N</t>
        </is>
      </c>
      <c r="K53" s="13" t="inlineStr">
        <is>
          <t>N</t>
        </is>
      </c>
      <c r="L53" s="13" t="inlineStr">
        <is>
          <t>N</t>
        </is>
      </c>
      <c r="M53" s="13" t="inlineStr">
        <is>
          <t>N</t>
        </is>
      </c>
      <c r="N53" s="13" t="inlineStr">
        <is>
          <t>N</t>
        </is>
      </c>
      <c r="O53" s="14" t="n">
        <v>0</v>
      </c>
      <c r="P53" s="14" t="n">
        <v>0</v>
      </c>
      <c r="Q53" s="14" t="n">
        <v>0</v>
      </c>
      <c r="R53" s="13" t="inlineStr">
        <is>
          <t>N</t>
        </is>
      </c>
      <c r="S53" s="15">
        <f>ROUND(COUNTIF(E53,F53,G53,H53,I53,J53,K53,L53,M53,N53,R53,"Y")/11*100,0)</f>
        <v/>
      </c>
      <c r="T53" s="15">
        <f>IF(S53&gt;=80,"Tier 1",IF(S53&gt;=50,"Tier 2",IF(S53&gt;=20,"Tier 3","Tier 4")))</f>
        <v/>
      </c>
      <c r="U53" s="12" t="inlineStr"/>
    </row>
    <row r="54">
      <c r="A54" s="11" t="inlineStr">
        <is>
          <t>PR</t>
        </is>
      </c>
      <c r="B54" s="16" t="inlineStr">
        <is>
          <t>Puerto Rico</t>
        </is>
      </c>
      <c r="C54" s="16" t="inlineStr"/>
      <c r="D54" s="16" t="inlineStr"/>
      <c r="E54" s="13" t="inlineStr">
        <is>
          <t>N</t>
        </is>
      </c>
      <c r="F54" s="13" t="inlineStr">
        <is>
          <t>N</t>
        </is>
      </c>
      <c r="G54" s="13" t="inlineStr">
        <is>
          <t>N</t>
        </is>
      </c>
      <c r="H54" s="13" t="inlineStr">
        <is>
          <t>N</t>
        </is>
      </c>
      <c r="I54" s="13" t="inlineStr">
        <is>
          <t>N</t>
        </is>
      </c>
      <c r="J54" s="13" t="inlineStr">
        <is>
          <t>N</t>
        </is>
      </c>
      <c r="K54" s="13" t="inlineStr">
        <is>
          <t>N</t>
        </is>
      </c>
      <c r="L54" s="13" t="inlineStr">
        <is>
          <t>N</t>
        </is>
      </c>
      <c r="M54" s="13" t="inlineStr">
        <is>
          <t>N</t>
        </is>
      </c>
      <c r="N54" s="13" t="inlineStr">
        <is>
          <t>N</t>
        </is>
      </c>
      <c r="O54" s="17" t="n">
        <v>0</v>
      </c>
      <c r="P54" s="17" t="n">
        <v>0</v>
      </c>
      <c r="Q54" s="17" t="n">
        <v>0</v>
      </c>
      <c r="R54" s="13" t="inlineStr">
        <is>
          <t>N</t>
        </is>
      </c>
      <c r="S54" s="15">
        <f>ROUND(COUNTIF(E54,F54,G54,H54,I54,J54,K54,L54,M54,N54,R54,"Y")/11*100,0)</f>
        <v/>
      </c>
      <c r="T54" s="15">
        <f>IF(S54&gt;=80,"Tier 1",IF(S54&gt;=50,"Tier 2",IF(S54&gt;=20,"Tier 3","Tier 4")))</f>
        <v/>
      </c>
      <c r="U54" s="16" t="inlineStr"/>
    </row>
    <row r="55">
      <c r="A55" s="11" t="inlineStr">
        <is>
          <t>GU</t>
        </is>
      </c>
      <c r="B55" s="12" t="inlineStr">
        <is>
          <t>Guam</t>
        </is>
      </c>
      <c r="C55" s="12" t="inlineStr"/>
      <c r="D55" s="12" t="inlineStr"/>
      <c r="E55" s="13" t="inlineStr">
        <is>
          <t>N</t>
        </is>
      </c>
      <c r="F55" s="13" t="inlineStr">
        <is>
          <t>N</t>
        </is>
      </c>
      <c r="G55" s="13" t="inlineStr">
        <is>
          <t>N</t>
        </is>
      </c>
      <c r="H55" s="13" t="inlineStr">
        <is>
          <t>N</t>
        </is>
      </c>
      <c r="I55" s="13" t="inlineStr">
        <is>
          <t>N</t>
        </is>
      </c>
      <c r="J55" s="13" t="inlineStr">
        <is>
          <t>N</t>
        </is>
      </c>
      <c r="K55" s="13" t="inlineStr">
        <is>
          <t>N</t>
        </is>
      </c>
      <c r="L55" s="13" t="inlineStr">
        <is>
          <t>N</t>
        </is>
      </c>
      <c r="M55" s="13" t="inlineStr">
        <is>
          <t>N</t>
        </is>
      </c>
      <c r="N55" s="13" t="inlineStr">
        <is>
          <t>N</t>
        </is>
      </c>
      <c r="O55" s="14" t="n">
        <v>0</v>
      </c>
      <c r="P55" s="14" t="n">
        <v>0</v>
      </c>
      <c r="Q55" s="14" t="n">
        <v>0</v>
      </c>
      <c r="R55" s="13" t="inlineStr">
        <is>
          <t>N</t>
        </is>
      </c>
      <c r="S55" s="15">
        <f>ROUND(COUNTIF(E55,F55,G55,H55,I55,J55,K55,L55,M55,N55,R55,"Y")/11*100,0)</f>
        <v/>
      </c>
      <c r="T55" s="15">
        <f>IF(S55&gt;=80,"Tier 1",IF(S55&gt;=50,"Tier 2",IF(S55&gt;=20,"Tier 3","Tier 4")))</f>
        <v/>
      </c>
      <c r="U55" s="12" t="inlineStr"/>
    </row>
    <row r="56">
      <c r="A56" s="11" t="inlineStr">
        <is>
          <t>VI</t>
        </is>
      </c>
      <c r="B56" s="16" t="inlineStr">
        <is>
          <t>U.S. Virgin Islands</t>
        </is>
      </c>
      <c r="C56" s="16" t="inlineStr"/>
      <c r="D56" s="16" t="inlineStr"/>
      <c r="E56" s="13" t="inlineStr">
        <is>
          <t>N</t>
        </is>
      </c>
      <c r="F56" s="13" t="inlineStr">
        <is>
          <t>N</t>
        </is>
      </c>
      <c r="G56" s="13" t="inlineStr">
        <is>
          <t>N</t>
        </is>
      </c>
      <c r="H56" s="13" t="inlineStr">
        <is>
          <t>N</t>
        </is>
      </c>
      <c r="I56" s="13" t="inlineStr">
        <is>
          <t>N</t>
        </is>
      </c>
      <c r="J56" s="13" t="inlineStr">
        <is>
          <t>N</t>
        </is>
      </c>
      <c r="K56" s="13" t="inlineStr">
        <is>
          <t>N</t>
        </is>
      </c>
      <c r="L56" s="13" t="inlineStr">
        <is>
          <t>N</t>
        </is>
      </c>
      <c r="M56" s="13" t="inlineStr">
        <is>
          <t>N</t>
        </is>
      </c>
      <c r="N56" s="13" t="inlineStr">
        <is>
          <t>N</t>
        </is>
      </c>
      <c r="O56" s="17" t="n">
        <v>0</v>
      </c>
      <c r="P56" s="17" t="n">
        <v>0</v>
      </c>
      <c r="Q56" s="17" t="n">
        <v>0</v>
      </c>
      <c r="R56" s="13" t="inlineStr">
        <is>
          <t>N</t>
        </is>
      </c>
      <c r="S56" s="15">
        <f>ROUND(COUNTIF(E56,F56,G56,H56,I56,J56,K56,L56,M56,N56,R56,"Y")/11*100,0)</f>
        <v/>
      </c>
      <c r="T56" s="15">
        <f>IF(S56&gt;=80,"Tier 1",IF(S56&gt;=50,"Tier 2",IF(S56&gt;=20,"Tier 3","Tier 4")))</f>
        <v/>
      </c>
      <c r="U56" s="16" t="inlineStr"/>
    </row>
  </sheetData>
  <autoFilter ref="A2:U2"/>
  <mergeCells count="9">
    <mergeCell ref="P1:R1"/>
    <mergeCell ref="S1"/>
    <mergeCell ref="C1:D1"/>
    <mergeCell ref="I1:K1"/>
    <mergeCell ref="T1"/>
    <mergeCell ref="A1:B1"/>
    <mergeCell ref="E1:H1"/>
    <mergeCell ref="L1:O1"/>
    <mergeCell ref="U1"/>
  </mergeCells>
  <conditionalFormatting sqref="S3:S56">
    <cfRule type="colorScale" priority="1">
      <colorScale>
        <cfvo type="num" val="0"/>
        <cfvo type="num" val="50"/>
        <cfvo type="num" val="100"/>
        <color rgb="00FFDCE1"/>
        <color rgb="00FFF2CC"/>
        <color rgb="00D9EAD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0" customWidth="1" min="4" max="4"/>
    <col width="20" customWidth="1" min="5" max="5"/>
    <col width="20" customWidth="1" min="6" max="6"/>
  </cols>
  <sheetData>
    <row r="1" ht="35" customHeight="1">
      <c r="A1" s="18" t="inlineStr">
        <is>
          <t>ARNG Power Platform — State Readiness Summary</t>
        </is>
      </c>
    </row>
    <row r="2" ht="18" customHeight="1">
      <c r="A2" s="19" t="inlineStr">
        <is>
          <t>As of April 2, 2026  |  NGB Digital Transformation Office  |  All values update automatically from tracker</t>
        </is>
      </c>
    </row>
    <row r="4" ht="35" customHeight="1">
      <c r="A4" s="20" t="inlineStr">
        <is>
          <t>Total States/Territories</t>
        </is>
      </c>
      <c r="B4" s="21" t="inlineStr">
        <is>
          <t>PP Environments Ready</t>
        </is>
      </c>
      <c r="C4" s="22" t="inlineStr">
        <is>
          <t>DaaS Enrolled</t>
        </is>
      </c>
      <c r="D4" s="23" t="inlineStr">
        <is>
          <t>GN Deployed</t>
        </is>
      </c>
      <c r="E4" s="24" t="inlineStr">
        <is>
          <t>300-Cert Admins</t>
        </is>
      </c>
      <c r="F4" s="25" t="inlineStr">
        <is>
          <t>Avg Readiness Score</t>
        </is>
      </c>
    </row>
    <row r="5" ht="35" customHeight="1">
      <c r="A5" s="26" t="inlineStr">
        <is>
          <t>54</t>
        </is>
      </c>
      <c r="B5" s="27">
        <f>COUNTIFS('State Readiness Tracker'!E3:E56,"Y",'State Readiness Tracker'!F3:F56,"Y",'State Readiness Tracker'!G3:G56,"Y")</f>
        <v/>
      </c>
      <c r="C5" s="28">
        <f>COUNTIF('State Readiness Tracker'!L3:L56,"Y")</f>
        <v/>
      </c>
      <c r="D5" s="29">
        <f>COUNTIF('State Readiness Tracker'!I3:I56,"Y")</f>
        <v/>
      </c>
      <c r="E5" s="30">
        <f>COUNTIF('State Readiness Tracker'!R3:R56,"Y")</f>
        <v/>
      </c>
      <c r="F5" s="31">
        <f>ROUND(AVERAGE('State Readiness Tracker'!S3:S56),1)</f>
        <v/>
      </c>
    </row>
    <row r="6" ht="35" customHeight="1"/>
    <row r="8">
      <c r="A8" s="32" t="inlineStr">
        <is>
          <t>Tier Distribution</t>
        </is>
      </c>
    </row>
    <row r="9">
      <c r="A9" s="33" t="inlineStr">
        <is>
          <t>Tier</t>
        </is>
      </c>
      <c r="B9" s="33" t="inlineStr">
        <is>
          <t># of States</t>
        </is>
      </c>
      <c r="C9" s="33" t="inlineStr">
        <is>
          <t>% of 54</t>
        </is>
      </c>
      <c r="D9" s="33" t="inlineStr">
        <is>
          <t>Definition</t>
        </is>
      </c>
    </row>
    <row r="10">
      <c r="A10" s="34" t="inlineStr">
        <is>
          <t>Tier 1 (≥80%)</t>
        </is>
      </c>
      <c r="B10" s="35">
        <f>COUNTIF('State Readiness Tracker'!S3:S56,"&gt;="&amp;80)</f>
        <v/>
      </c>
      <c r="C10" s="36">
        <f>ROUND(B10/54*100,1)&amp;"%"</f>
        <v/>
      </c>
      <c r="D10" s="16" t="inlineStr">
        <is>
          <t>Full env + DaaS + GN/Forecast + trained admin</t>
        </is>
      </c>
    </row>
    <row r="11">
      <c r="A11" s="37" t="inlineStr">
        <is>
          <t>Tier 2 (50-79%)</t>
        </is>
      </c>
      <c r="B11" s="38">
        <f>COUNTIFS('State Readiness Tracker'!S3:S56,"&gt;="&amp;50,'State Readiness Tracker'!S3:S56,"&lt;"&amp;80)</f>
        <v/>
      </c>
      <c r="C11" s="36">
        <f>ROUND(B11/54*100,1)&amp;"%"</f>
        <v/>
      </c>
      <c r="D11" s="12" t="inlineStr">
        <is>
          <t>Environments up, DaaS started, training in progress</t>
        </is>
      </c>
    </row>
    <row r="12">
      <c r="A12" s="39" t="inlineStr">
        <is>
          <t>Tier 3 (20-49%)</t>
        </is>
      </c>
      <c r="B12" s="40">
        <f>COUNTIFS('State Readiness Tracker'!S3:S56,"&gt;="&amp;20,'State Readiness Tracker'!S3:S56,"&lt;"&amp;50)</f>
        <v/>
      </c>
      <c r="C12" s="36">
        <f>ROUND(B12/54*100,1)&amp;"%"</f>
        <v/>
      </c>
      <c r="D12" s="16" t="inlineStr">
        <is>
          <t>Environments partially provisioned, minimal training</t>
        </is>
      </c>
    </row>
    <row r="13">
      <c r="A13" s="41" t="inlineStr">
        <is>
          <t>Tier 4 (&lt;20%)</t>
        </is>
      </c>
      <c r="B13" s="42">
        <f>COUNTIF('State Readiness Tracker'!S3:S56,"&lt;"&amp;20)</f>
        <v/>
      </c>
      <c r="C13" s="36">
        <f>ROUND(B13/54*100,1)&amp;"%"</f>
        <v/>
      </c>
      <c r="D13" s="12" t="inlineStr">
        <is>
          <t>Not started or very early stage</t>
        </is>
      </c>
    </row>
    <row r="15">
      <c r="A15" s="32" t="inlineStr">
        <is>
          <t>Status Key</t>
        </is>
      </c>
    </row>
    <row r="16">
      <c r="A16" s="43" t="inlineStr">
        <is>
          <t>Y</t>
        </is>
      </c>
      <c r="B16" s="16" t="inlineStr">
        <is>
          <t>Complete / Deployed</t>
        </is>
      </c>
    </row>
    <row r="17">
      <c r="A17" s="44" t="inlineStr">
        <is>
          <t>N</t>
        </is>
      </c>
      <c r="B17" s="12" t="inlineStr">
        <is>
          <t>Not Started</t>
        </is>
      </c>
    </row>
    <row r="18">
      <c r="A18" s="45" t="inlineStr">
        <is>
          <t>IP</t>
        </is>
      </c>
      <c r="B18" s="16" t="inlineStr">
        <is>
          <t>In Progress</t>
        </is>
      </c>
    </row>
  </sheetData>
  <mergeCells count="14">
    <mergeCell ref="A5:A6"/>
    <mergeCell ref="D4"/>
    <mergeCell ref="B4"/>
    <mergeCell ref="E5:E6"/>
    <mergeCell ref="C4"/>
    <mergeCell ref="A4"/>
    <mergeCell ref="F4"/>
    <mergeCell ref="E4"/>
    <mergeCell ref="F5:F6"/>
    <mergeCell ref="A2:H2"/>
    <mergeCell ref="A1:H1"/>
    <mergeCell ref="D5:D6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55" customWidth="1" min="3" max="3"/>
  </cols>
  <sheetData>
    <row r="1">
      <c r="A1" s="33" t="inlineStr">
        <is>
          <t>Column</t>
        </is>
      </c>
      <c r="B1" s="33" t="inlineStr">
        <is>
          <t>Allowed Values</t>
        </is>
      </c>
      <c r="C1" s="33" t="inlineStr">
        <is>
          <t>Description / Instructions</t>
        </is>
      </c>
    </row>
    <row r="2" ht="30" customHeight="1">
      <c r="A2" s="46" t="inlineStr">
        <is>
          <t>Dev / Test / Prod Env</t>
        </is>
      </c>
      <c r="B2" s="17" t="inlineStr">
        <is>
          <t>Y / N / IP</t>
        </is>
      </c>
      <c r="C2" s="16" t="inlineStr">
        <is>
          <t>Y = environment fully provisioned with correct naming and DLP applied. IP = in progress.</t>
        </is>
      </c>
    </row>
    <row r="3" ht="30" customHeight="1">
      <c r="A3" s="47" t="inlineStr">
        <is>
          <t>DLP Applied</t>
        </is>
      </c>
      <c r="B3" s="14" t="inlineStr">
        <is>
          <t>Y / N / IP</t>
        </is>
      </c>
      <c r="C3" s="12" t="inlineStr">
        <is>
          <t>Y = NGB DLP policy applied to all three environments and verified.</t>
        </is>
      </c>
    </row>
    <row r="4" ht="30" customHeight="1">
      <c r="A4" s="46" t="inlineStr">
        <is>
          <t>Guardian Nexus</t>
        </is>
      </c>
      <c r="B4" s="17" t="inlineStr">
        <is>
          <t>Y / N / IP</t>
        </is>
      </c>
      <c r="C4" s="16" t="inlineStr">
        <is>
          <t>Y = state users have been provisioned access in Guardian Nexus by NGB.</t>
        </is>
      </c>
    </row>
    <row r="5" ht="30" customHeight="1">
      <c r="A5" s="47" t="inlineStr">
        <is>
          <t>Forecast</t>
        </is>
      </c>
      <c r="B5" s="14" t="inlineStr">
        <is>
          <t>Y / N / IP</t>
        </is>
      </c>
      <c r="C5" s="12" t="inlineStr">
        <is>
          <t>Y = state users have been provisioned access to Forecast by NGB.</t>
        </is>
      </c>
    </row>
    <row r="6" ht="30" customHeight="1">
      <c r="A6" s="46" t="inlineStr">
        <is>
          <t>Checkbook</t>
        </is>
      </c>
      <c r="B6" s="17" t="inlineStr">
        <is>
          <t>Y / N / IP</t>
        </is>
      </c>
      <c r="C6" s="16" t="inlineStr">
        <is>
          <t>Y = state users have been provisioned access to Checkbook by NGB.</t>
        </is>
      </c>
    </row>
    <row r="7" ht="30" customHeight="1">
      <c r="A7" s="47" t="inlineStr">
        <is>
          <t>DaaS Enrolled</t>
        </is>
      </c>
      <c r="B7" s="14" t="inlineStr">
        <is>
          <t>Y / N / IP</t>
        </is>
      </c>
      <c r="C7" s="12" t="inlineStr">
        <is>
          <t>Y = state has completed DaaS onboarding (DUA signed + standard dims provisioned).</t>
        </is>
      </c>
    </row>
    <row r="8" ht="30" customHeight="1">
      <c r="A8" s="46" t="inlineStr">
        <is>
          <t>DUA Signed</t>
        </is>
      </c>
      <c r="B8" s="17" t="inlineStr">
        <is>
          <t>Y / N</t>
        </is>
      </c>
      <c r="C8" s="16" t="inlineStr">
        <is>
          <t>Y = Data Use Agreement signed by state commander or delegate and filed with NGB.</t>
        </is>
      </c>
    </row>
    <row r="9" ht="30" customHeight="1">
      <c r="A9" s="47" t="inlineStr">
        <is>
          <t>Std Dims Provisioned</t>
        </is>
      </c>
      <c r="B9" s="14" t="inlineStr">
        <is>
          <t>Y / N / IP</t>
        </is>
      </c>
      <c r="C9" s="12" t="inlineStr">
        <is>
          <t>Y = NGB has pushed standard dimension tables (Dim_Soldier, Dim_Unit, Dim_MOS, Dim_Rank, Dim_State, Dim_Date) into state Prod Dataverse.</t>
        </is>
      </c>
    </row>
    <row r="10" ht="30" customHeight="1">
      <c r="A10" s="46" t="inlineStr">
        <is>
          <t>Dataflow Requests</t>
        </is>
      </c>
      <c r="B10" s="17" t="inlineStr">
        <is>
          <t>0, 1, 2, 3...</t>
        </is>
      </c>
      <c r="C10" s="16" t="inlineStr">
        <is>
          <t>Count of active NGB-approved dataflow requests for this state.</t>
        </is>
      </c>
    </row>
    <row r="11" ht="30" customHeight="1">
      <c r="A11" s="47" t="inlineStr">
        <is>
          <t>100-Level %</t>
        </is>
      </c>
      <c r="B11" s="14" t="inlineStr">
        <is>
          <t>0–100</t>
        </is>
      </c>
      <c r="C11" s="12" t="inlineStr">
        <is>
          <t>Percentage of target state personnel who have completed the 100-level Foundations course.</t>
        </is>
      </c>
    </row>
    <row r="12" ht="30" customHeight="1">
      <c r="A12" s="46" t="inlineStr">
        <is>
          <t>200-Level %</t>
        </is>
      </c>
      <c r="B12" s="17" t="inlineStr">
        <is>
          <t>0–100</t>
        </is>
      </c>
      <c r="C12" s="16" t="inlineStr">
        <is>
          <t>Percentage of target state power users who have completed the 200-level Practitioner course.</t>
        </is>
      </c>
    </row>
    <row r="13" ht="30" customHeight="1">
      <c r="A13" s="47" t="inlineStr">
        <is>
          <t>300-Cert (Admin)</t>
        </is>
      </c>
      <c r="B13" s="14" t="inlineStr">
        <is>
          <t>Y / N</t>
        </is>
      </c>
      <c r="C13" s="12" t="inlineStr">
        <is>
          <t>Y = State Power Platform Admin holds current 300-level certification from NGB.</t>
        </is>
      </c>
    </row>
    <row r="14" ht="30" customHeight="1">
      <c r="A14" s="46" t="inlineStr">
        <is>
          <t>Readiness Score</t>
        </is>
      </c>
      <c r="B14" s="17" t="inlineStr">
        <is>
          <t>Auto (formula)</t>
        </is>
      </c>
      <c r="C14" s="16" t="inlineStr">
        <is>
          <t>Calculated as: (# of Y values across 11 key binary fields) / 11 × 100. Do not edit.</t>
        </is>
      </c>
    </row>
    <row r="15" ht="30" customHeight="1">
      <c r="A15" s="47" t="inlineStr">
        <is>
          <t>Tier</t>
        </is>
      </c>
      <c r="B15" s="14" t="inlineStr">
        <is>
          <t>Auto (formula)</t>
        </is>
      </c>
      <c r="C15" s="12" t="inlineStr">
        <is>
          <t>Tier 1 = score ≥80, Tier 2 = 50–79, Tier 3 = 20–49, Tier 4 = &lt;20. Do not edit.</t>
        </is>
      </c>
    </row>
    <row r="16" ht="30" customHeight="1">
      <c r="A16" s="46" t="inlineStr">
        <is>
          <t>Notes</t>
        </is>
      </c>
      <c r="B16" s="17" t="inlineStr">
        <is>
          <t>Free text</t>
        </is>
      </c>
      <c r="C16" s="16" t="inlineStr">
        <is>
          <t>Use for anything relevant: blockers, contacts, timeline, special circumstances.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2026-04-02T16:41:05Z</dcterms:created>
  <dcterms:modified xmlns:dcterms="http://purl.org/dc/terms/" xmlns:xsi="http://www.w3.org/2001/XMLSchema-instance" xsi:type="dcterms:W3CDTF">2026-04-02T16:41:05Z</dcterms:modified>
</cp:coreProperties>
</file>